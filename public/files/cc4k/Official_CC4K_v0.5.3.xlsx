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jcrh.sharepoint.com/sites/Team-CompBioSoftwareEngineeringGroup/Shared Documents/St Jude Cloud/Scientific Efforts/CC4K tree updates/Ontology v0.5.2/"/>
    </mc:Choice>
  </mc:AlternateContent>
  <xr:revisionPtr revIDLastSave="0" documentId="8_{4866CB35-D111-4E9E-B0B1-8DA7071E9BBC}" xr6:coauthVersionLast="47" xr6:coauthVersionMax="47" xr10:uidLastSave="{00000000-0000-0000-0000-000000000000}"/>
  <bookViews>
    <workbookView xWindow="0" yWindow="660" windowWidth="30240" windowHeight="17360" firstSheet="4" activeTab="4" xr2:uid="{924538EB-B3B0-A84F-847F-99AE6552E62D}"/>
  </bookViews>
  <sheets>
    <sheet name="OntologyList v0.5.3" sheetId="8" r:id="rId1"/>
    <sheet name="Root" sheetId="5" r:id="rId2"/>
    <sheet name="Brain" sheetId="9" r:id="rId3"/>
    <sheet name="Solid" sheetId="7" r:id="rId4"/>
    <sheet name="Heme" sheetId="3" r:id="rId5"/>
  </sheets>
  <definedNames>
    <definedName name="_xlnm._FilterDatabase" localSheetId="4" hidden="1">Heme!$A$1:$I$125</definedName>
    <definedName name="_xlnm._FilterDatabase" localSheetId="0" hidden="1">'OntologyList v0.5.3'!$A$1:$F$461</definedName>
    <definedName name="_xlnm._FilterDatabase" localSheetId="3" hidden="1">Solid!$A$1:$H$218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4" i="9" l="1"/>
  <c r="F99" i="9"/>
  <c r="F98" i="9"/>
  <c r="F90" i="9"/>
  <c r="E209" i="7"/>
  <c r="E157" i="7"/>
  <c r="E203" i="7"/>
  <c r="E202" i="7"/>
  <c r="E218" i="7"/>
  <c r="E217" i="7"/>
  <c r="E216" i="7"/>
  <c r="E215" i="7"/>
  <c r="E214" i="7"/>
  <c r="E213" i="7"/>
  <c r="E212" i="7"/>
  <c r="E211" i="7"/>
  <c r="E210" i="7"/>
  <c r="E208" i="7"/>
  <c r="E207" i="7"/>
  <c r="E206" i="7"/>
  <c r="E205" i="7"/>
  <c r="E204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47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7" i="7"/>
  <c r="E26" i="7"/>
  <c r="E25" i="7"/>
  <c r="E24" i="7"/>
  <c r="E22" i="7"/>
  <c r="E21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F121" i="3"/>
  <c r="F120" i="3"/>
  <c r="F26" i="5"/>
  <c r="F25" i="5"/>
  <c r="F13" i="5"/>
  <c r="F12" i="5"/>
  <c r="F11" i="5"/>
  <c r="F10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<sst xmlns="http://schemas.openxmlformats.org/spreadsheetml/2006/main" count="2555" uniqueCount="965">
  <si>
    <t>Cancer Classifications for Kids (CC4K)</t>
  </si>
  <si>
    <t>Disease Name</t>
  </si>
  <si>
    <t>Disease Code</t>
  </si>
  <si>
    <t>Sample</t>
  </si>
  <si>
    <t>SAMPLE</t>
  </si>
  <si>
    <t>\-&gt;</t>
  </si>
  <si>
    <t>Disease</t>
  </si>
  <si>
    <t>DISEASE</t>
  </si>
  <si>
    <t>Cancer</t>
  </si>
  <si>
    <t>CANCER</t>
  </si>
  <si>
    <t>Hematologic Malignancy</t>
  </si>
  <si>
    <t>HM</t>
  </si>
  <si>
    <t>Solid tumor</t>
  </si>
  <si>
    <t>ST</t>
  </si>
  <si>
    <t>Brain Tumor</t>
  </si>
  <si>
    <t>BT</t>
  </si>
  <si>
    <t>Other Classifications found in St. Jude Cloud</t>
  </si>
  <si>
    <t>Non-cancer</t>
  </si>
  <si>
    <t>NONCANCER</t>
  </si>
  <si>
    <t>Bone Marrow Failure Syndrome</t>
  </si>
  <si>
    <t>BMFS</t>
  </si>
  <si>
    <t>Non-malignancy</t>
  </si>
  <si>
    <t>NM</t>
  </si>
  <si>
    <t>Sickle Cell Disease</t>
  </si>
  <si>
    <t>SCD</t>
  </si>
  <si>
    <t>Neurodegenerative Disorders</t>
  </si>
  <si>
    <t>NDD</t>
  </si>
  <si>
    <t>Amyotrophic Lateral Sclerosis</t>
  </si>
  <si>
    <t>ALS</t>
  </si>
  <si>
    <t>Primary Lateral Sclerosis</t>
  </si>
  <si>
    <t>PLS</t>
  </si>
  <si>
    <t>Frontotemporal Dementia</t>
  </si>
  <si>
    <t>FTD</t>
  </si>
  <si>
    <t>Progressive Muscular Atrophy</t>
  </si>
  <si>
    <t>PMA</t>
  </si>
  <si>
    <t>Hereditary Spastic Paraplegia</t>
  </si>
  <si>
    <t>HSP</t>
  </si>
  <si>
    <t>Multisystem Proteinopathy</t>
  </si>
  <si>
    <t>MSP</t>
  </si>
  <si>
    <t>Spinal Muscular Atrophy</t>
  </si>
  <si>
    <t>SPMA</t>
  </si>
  <si>
    <t> </t>
  </si>
  <si>
    <t>Amyotrophic Lateral Sclerosis with Frontotemporal Dementia</t>
  </si>
  <si>
    <t>ALSFTD</t>
  </si>
  <si>
    <t>Primary Lateral Sclerosis with Frontotemporal Dementia</t>
  </si>
  <si>
    <t>PLSFTD</t>
  </si>
  <si>
    <t>Hereditary Spastic Paraplegia with Charcot–Marie–Tooth</t>
  </si>
  <si>
    <t>HSPCMT</t>
  </si>
  <si>
    <t>Normal</t>
  </si>
  <si>
    <t>NORMAL</t>
  </si>
  <si>
    <t>Control Sample</t>
  </si>
  <si>
    <t>NORM</t>
  </si>
  <si>
    <t>CC4K_tree</t>
  </si>
  <si>
    <t>Diagnosis Name</t>
  </si>
  <si>
    <t>Diagnosis Code</t>
  </si>
  <si>
    <t>Diagnosis Category</t>
  </si>
  <si>
    <t>CNS5 WHO</t>
  </si>
  <si>
    <t>N/A</t>
  </si>
  <si>
    <t>Gliomas, Glioneuronal Tumors, and Neuronal Tumors</t>
  </si>
  <si>
    <t>GLGNNT</t>
  </si>
  <si>
    <t>T</t>
  </si>
  <si>
    <t>Gliomas, Glioneuronal Tumors, and Neuronal Tumors, NOS</t>
  </si>
  <si>
    <t>GLGNNTNOS</t>
  </si>
  <si>
    <t>Other Gliomas</t>
  </si>
  <si>
    <t>F</t>
  </si>
  <si>
    <t>Gliomas, Glioneuronal Tumors, and Neuronal Tumors, NEC</t>
  </si>
  <si>
    <t>GLGNNTNEC</t>
  </si>
  <si>
    <t>Adult-type Diffuse Gliomas</t>
  </si>
  <si>
    <t>ALDG</t>
  </si>
  <si>
    <t>Astrocytoma, IDH-mutant</t>
  </si>
  <si>
    <t>ALAST</t>
  </si>
  <si>
    <t>High-grade Glioma; Low-grade Glioma</t>
  </si>
  <si>
    <t>Glioblastoma, IDH-wildtype</t>
  </si>
  <si>
    <t>ALGB</t>
  </si>
  <si>
    <t>High-grade Glioma</t>
  </si>
  <si>
    <t>Oligodendroglioma, IDH-mutant and 1p/19q-codeleted</t>
  </si>
  <si>
    <t>ODG</t>
  </si>
  <si>
    <t>Pediatric-type Diffuse Low-grade Gliomas</t>
  </si>
  <si>
    <t>DLGG</t>
  </si>
  <si>
    <t>Pediatric-type Diffuse Low-grade Gliomas, NOS</t>
  </si>
  <si>
    <t>DLGGNOS</t>
  </si>
  <si>
    <t>Low-grade Glioma</t>
  </si>
  <si>
    <t>Pediatric-type Diffuse Low-grade Gliomas, NEC</t>
  </si>
  <si>
    <t>DLGGNEC</t>
  </si>
  <si>
    <t>Angiocentric Glioma</t>
  </si>
  <si>
    <t>ANGL</t>
  </si>
  <si>
    <t>Diffuse Astrocytoma, MYB- or MYBL1-altered</t>
  </si>
  <si>
    <t>DASTR</t>
  </si>
  <si>
    <t>Diffuse Low-grade Glioma, MAPK Pathway-altered</t>
  </si>
  <si>
    <t>DLGGMAPK</t>
  </si>
  <si>
    <t>Polymorphous Low-grade Neuroepithelial Tumors of the Young</t>
  </si>
  <si>
    <t>PLNTY</t>
  </si>
  <si>
    <t>Pediatric-type Diffuse High-grade Gliomas</t>
  </si>
  <si>
    <t>DHGG</t>
  </si>
  <si>
    <t>Pediatric-type Diffuse High-grade Gliomas, NOS</t>
  </si>
  <si>
    <t>DHGGNOS</t>
  </si>
  <si>
    <t>Pediatric-type Diffuse High-grade Gliomas, NEC</t>
  </si>
  <si>
    <t>DHGGNEC</t>
  </si>
  <si>
    <t>Diffuse Midline Glioma, H3 K27-altered</t>
  </si>
  <si>
    <t>DMGH3K27</t>
  </si>
  <si>
    <t>Diffuse Hemispheric Glioma, H3 G34-mutant</t>
  </si>
  <si>
    <t>DHGH3G34</t>
  </si>
  <si>
    <t>Diffuse Pediatric-type High-grade Glioma, H3-wildtype and IDH-wildtype</t>
  </si>
  <si>
    <t>DPHGGWT</t>
  </si>
  <si>
    <t>Infant-type Hemispheric Glioma</t>
  </si>
  <si>
    <t>IHG</t>
  </si>
  <si>
    <t>Circumscribed Astrocytic Gliomas</t>
  </si>
  <si>
    <t>CAST</t>
  </si>
  <si>
    <t>Circumscribed Astrocytic Gliomas, NOS</t>
  </si>
  <si>
    <t>CASTNOS</t>
  </si>
  <si>
    <t>Pilocytic Astrocytoma</t>
  </si>
  <si>
    <t>PAST</t>
  </si>
  <si>
    <t>Pleomorphic Xanthoastrocytoma</t>
  </si>
  <si>
    <t>PXA</t>
  </si>
  <si>
    <t>Astroblastoma, MN1-altered</t>
  </si>
  <si>
    <t>ASTROB</t>
  </si>
  <si>
    <t>Subependymal Giant Cell Astrocytoma</t>
  </si>
  <si>
    <t>SEGA</t>
  </si>
  <si>
    <t>High-grade Astrocytoma with Piloid Features</t>
  </si>
  <si>
    <t>HGAP</t>
  </si>
  <si>
    <t>Glioneuronal and Neuronal Tumors</t>
  </si>
  <si>
    <t>GNT</t>
  </si>
  <si>
    <t>Glioneuronal and Neuronal Tumors, NEC</t>
  </si>
  <si>
    <t>GNTNEC</t>
  </si>
  <si>
    <t>Glioneuronal and Neuronal Tumors, NOS</t>
  </si>
  <si>
    <t>GNTNOS</t>
  </si>
  <si>
    <t>Central Neurocytoma</t>
  </si>
  <si>
    <t>CNC</t>
  </si>
  <si>
    <t>Ganglioglioma</t>
  </si>
  <si>
    <t>GNG</t>
  </si>
  <si>
    <t>Extraventricular Neurocytoma</t>
  </si>
  <si>
    <t>EVN</t>
  </si>
  <si>
    <t>Dysembryoplastic Neuroepithelial Tumors</t>
  </si>
  <si>
    <t>DNT</t>
  </si>
  <si>
    <t>Diffuse Leptomeningeal Glioneuronal Tumors</t>
  </si>
  <si>
    <t>DLGNT</t>
  </si>
  <si>
    <t>Desmoplastic Infantile Ganglioglioma / Desmoplastic Infantile Astrocytoma</t>
  </si>
  <si>
    <t>DIA/DIG</t>
  </si>
  <si>
    <t>Rosette-forming Glioneuronal Tumors</t>
  </si>
  <si>
    <t>RGNT</t>
  </si>
  <si>
    <t>Myxoid Glioneuronal Tumor</t>
  </si>
  <si>
    <t>MGNT</t>
  </si>
  <si>
    <t>Ependymal Tumors</t>
  </si>
  <si>
    <t>EPMT</t>
  </si>
  <si>
    <t>Ependymal Tumors, NOS</t>
  </si>
  <si>
    <t>EPMTNOS</t>
  </si>
  <si>
    <t>Ependymoma</t>
  </si>
  <si>
    <t>Ependymal Tumors, NEC</t>
  </si>
  <si>
    <t>EPMTNEC</t>
  </si>
  <si>
    <t>Posterior Fossa Ependymoma</t>
  </si>
  <si>
    <t>EPMTPF</t>
  </si>
  <si>
    <t>Posterior Fossa Group A (PFA) Ependymoma</t>
  </si>
  <si>
    <t>EPMTPFA</t>
  </si>
  <si>
    <t>Posterior Fossa Group B (PFB) Ependymoma</t>
  </si>
  <si>
    <t>EPMTPFB</t>
  </si>
  <si>
    <t>Spinal Ependymoma</t>
  </si>
  <si>
    <t>EPMTST</t>
  </si>
  <si>
    <t>Myxopapillary Ependymoma</t>
  </si>
  <si>
    <t>MPE</t>
  </si>
  <si>
    <t>Supratentorial Ependymoma</t>
  </si>
  <si>
    <t>EPMTSU</t>
  </si>
  <si>
    <t>Supratentorial Ependymoma, YAP1 Fusion-positive</t>
  </si>
  <si>
    <t>EPMTSUYAP1</t>
  </si>
  <si>
    <t>Supratentorial Ependymoma, ZFTA Fusion-positive</t>
  </si>
  <si>
    <t>EPMTSUZFTA</t>
  </si>
  <si>
    <t>Subependymoma</t>
  </si>
  <si>
    <t>EMSUB</t>
  </si>
  <si>
    <t>Meningioma Tumors</t>
  </si>
  <si>
    <t>MNGT</t>
  </si>
  <si>
    <t>Meningioma</t>
  </si>
  <si>
    <t>MNG</t>
  </si>
  <si>
    <t>Other Brain Tumors</t>
  </si>
  <si>
    <t>Choroid Plexus Tumors</t>
  </si>
  <si>
    <t>CPT</t>
  </si>
  <si>
    <t>Choroid Plexus Tumors, NOS</t>
  </si>
  <si>
    <t>CPTNOS</t>
  </si>
  <si>
    <t>Choroid Plexus Papilloma</t>
  </si>
  <si>
    <t>CPP</t>
  </si>
  <si>
    <t>Choroid Plexus Carcinoma</t>
  </si>
  <si>
    <t>CPC</t>
  </si>
  <si>
    <t>Atypical Choroid Plexus Papilloma</t>
  </si>
  <si>
    <t>ACPP</t>
  </si>
  <si>
    <t>Embryonal Tumors</t>
  </si>
  <si>
    <t>EMBT</t>
  </si>
  <si>
    <t>Embryonal Tumors, NOS</t>
  </si>
  <si>
    <t>EMBTNOS</t>
  </si>
  <si>
    <t>Other CNS Embryonal Tumors</t>
  </si>
  <si>
    <t>Medulloblastoma</t>
  </si>
  <si>
    <t>MBL</t>
  </si>
  <si>
    <t>Medulloblastoma, NOS</t>
  </si>
  <si>
    <t>MBLNOS</t>
  </si>
  <si>
    <t>Medulloblastoma, NEC</t>
  </si>
  <si>
    <t>MBLNEC</t>
  </si>
  <si>
    <t>Medulloblastomas, Molecularly Defined</t>
  </si>
  <si>
    <t>MBLMD</t>
  </si>
  <si>
    <t>Medulloblastoma, non-WNT/non-SHH</t>
  </si>
  <si>
    <t>MBLNWS</t>
  </si>
  <si>
    <t>Medulloblastoma, WNT-activated</t>
  </si>
  <si>
    <t>MBLWNT</t>
  </si>
  <si>
    <t>Medulloblastoma, SHH-activated and TP53-wildtype</t>
  </si>
  <si>
    <t>MBLSHHTP53WT</t>
  </si>
  <si>
    <t>Medulloblastoma, SHH-activated and TP53-mutant</t>
  </si>
  <si>
    <t>MBLSHHTP53MT</t>
  </si>
  <si>
    <t>Medulloblastomas, Histologically Defined</t>
  </si>
  <si>
    <t>MBLHD</t>
  </si>
  <si>
    <t>EMBCNST</t>
  </si>
  <si>
    <t>CNS Embryonal Tumor, NEC/NOS</t>
  </si>
  <si>
    <t>EMBCNSTNECNOS</t>
  </si>
  <si>
    <t>Atypical Teratoid/Rhabdoid Tumors</t>
  </si>
  <si>
    <t>ATRT</t>
  </si>
  <si>
    <t>CNS Tumors with BCOR Internal Tandem Duplication</t>
  </si>
  <si>
    <t>CNSBCORITD</t>
  </si>
  <si>
    <t>Other CNS Embryonal Tumors; High-grade Gliomas</t>
  </si>
  <si>
    <t>Embryonal Tumors with Multilayered Rosettes</t>
  </si>
  <si>
    <t>ETMR</t>
  </si>
  <si>
    <t>CNS Neuroblastoma, FOXR2-activated</t>
  </si>
  <si>
    <t xml:space="preserve">CNSNBFOXR2 </t>
  </si>
  <si>
    <t>Pineal Tumors</t>
  </si>
  <si>
    <t>PINT</t>
  </si>
  <si>
    <t>Pineoblastoma</t>
  </si>
  <si>
    <t>PBL</t>
  </si>
  <si>
    <t>Pineal Parenchymal Tumors of Intermediate Differentiation</t>
  </si>
  <si>
    <t>PPTID</t>
  </si>
  <si>
    <t>Papillary Tumors of the Pineal Region</t>
  </si>
  <si>
    <t>PTPR</t>
  </si>
  <si>
    <t>Mesenchymal, non-meningothelial Tumors Involving the CNS</t>
  </si>
  <si>
    <t>MCHSCNS</t>
  </si>
  <si>
    <t>Mesenchymal, non-meningothelial Tumors Involving the CNS, NOS</t>
  </si>
  <si>
    <t>MCHSCNSNOS</t>
  </si>
  <si>
    <t>Mesenchymal, non-meningothelial Tumors Involving the CNS, NEC</t>
  </si>
  <si>
    <t>MCHSCNSNEC</t>
  </si>
  <si>
    <t>CNS Soft Tissue Tumors</t>
  </si>
  <si>
    <t>CNSSTT</t>
  </si>
  <si>
    <t>CNS Sarcomas</t>
  </si>
  <si>
    <t>CNS Tumors of Uncertain Differentiation</t>
  </si>
  <si>
    <t>CNSTUD</t>
  </si>
  <si>
    <t>Intracranial Mesenchymal Tumors, FET::CREB Fusion-positive</t>
  </si>
  <si>
    <t>IMTFETCREB</t>
  </si>
  <si>
    <t>Primary Intracranial Sarcoma, DICER1-mutant</t>
  </si>
  <si>
    <t>PISDICER1</t>
  </si>
  <si>
    <t>CNS CIC-rearranged Sarcoma</t>
  </si>
  <si>
    <t>CNSCIC</t>
  </si>
  <si>
    <t>CNS Vascular Tumors</t>
  </si>
  <si>
    <t>CNSVST</t>
  </si>
  <si>
    <t>Hemangioblastoma</t>
  </si>
  <si>
    <t>HEMBL</t>
  </si>
  <si>
    <t>Tumors of the Sellar Region</t>
  </si>
  <si>
    <t>SELT</t>
  </si>
  <si>
    <t>Tumors of the Sellar Region, NOS</t>
  </si>
  <si>
    <t>SELTNOS</t>
  </si>
  <si>
    <t>Tumors of the Sellar Region, NEC</t>
  </si>
  <si>
    <t>SELTNEC</t>
  </si>
  <si>
    <t>Adamantinomatous Craniopharyngioma</t>
  </si>
  <si>
    <t>ACPG</t>
  </si>
  <si>
    <t>Craniopharyngiomas</t>
  </si>
  <si>
    <t>Pituitary Blastoma</t>
  </si>
  <si>
    <t>PITB</t>
  </si>
  <si>
    <t>Pituitary Adenoma / Pituitary Neuroendocrine Tumour</t>
  </si>
  <si>
    <t>PITA</t>
  </si>
  <si>
    <t>Hematolymphoid Tumors Involving the CNS</t>
  </si>
  <si>
    <t>HTCNS</t>
  </si>
  <si>
    <t>Histiocytic Sarcoma</t>
  </si>
  <si>
    <t>HISTS</t>
  </si>
  <si>
    <t>Brain Tumor, NEC</t>
  </si>
  <si>
    <t>BTNEC</t>
  </si>
  <si>
    <t>Brain Tumor, NOS</t>
  </si>
  <si>
    <t>BTNOS</t>
  </si>
  <si>
    <t>Cranial and Paraspinal Nerve Tumors</t>
  </si>
  <si>
    <t>CPNT</t>
  </si>
  <si>
    <t>Cranial and Paraspinal Nerve Tumors, NOS</t>
  </si>
  <si>
    <t>CPNTNOS</t>
  </si>
  <si>
    <t>Germ Cell Tumor, Brain</t>
  </si>
  <si>
    <t>GCTBR</t>
  </si>
  <si>
    <t>CNS Germ Cell Tumors</t>
  </si>
  <si>
    <t>Pediatric WHO</t>
  </si>
  <si>
    <t>Solid Tumor</t>
  </si>
  <si>
    <t>Endocrine Tumors</t>
  </si>
  <si>
    <t>ENDOT</t>
  </si>
  <si>
    <t>Adrenal Tumors</t>
  </si>
  <si>
    <t>ADT</t>
  </si>
  <si>
    <t>Adrenal Cortical Tumors</t>
  </si>
  <si>
    <t>ACT</t>
  </si>
  <si>
    <t>Endocrine and Neuroendocrine Tumors</t>
  </si>
  <si>
    <t>Adrenal Cortical Adenoma</t>
  </si>
  <si>
    <t>ACA</t>
  </si>
  <si>
    <t>F*</t>
  </si>
  <si>
    <t>Adrenal Cortical Carcinoma</t>
  </si>
  <si>
    <t>ACC</t>
  </si>
  <si>
    <t>Adrenal Cortical Tumor, Uncertain Malignant Potential</t>
  </si>
  <si>
    <t>ACTUMP</t>
  </si>
  <si>
    <t>Thyroid Tumors</t>
  </si>
  <si>
    <t>THYT</t>
  </si>
  <si>
    <t>Thyroid Follicular Nodular Disease</t>
  </si>
  <si>
    <t>THYFD</t>
  </si>
  <si>
    <t>Follicular Thyroid Adenoma</t>
  </si>
  <si>
    <t>FTHYA</t>
  </si>
  <si>
    <t>Follicular Thyroid Carcinoma</t>
  </si>
  <si>
    <t>FTHYC</t>
  </si>
  <si>
    <t>Oncocytic Thyroid Carcinoma</t>
  </si>
  <si>
    <t>OTHYC</t>
  </si>
  <si>
    <t>Medullary Thyroid Carcinoma</t>
  </si>
  <si>
    <t>MTHYC</t>
  </si>
  <si>
    <t>Papillary Thyroid Carcinoma</t>
  </si>
  <si>
    <t>PTHYC</t>
  </si>
  <si>
    <t>Non-invasive Follicular Thyroid Neoplasm with Papillary-like Nuclear Features</t>
  </si>
  <si>
    <t>NFTHY</t>
  </si>
  <si>
    <t>Oncocytic Adenoma of the Thyroid Gland</t>
  </si>
  <si>
    <t>OATG</t>
  </si>
  <si>
    <t>Poorly Differentiated Thyroid Carcinoma</t>
  </si>
  <si>
    <t>PDTHYC</t>
  </si>
  <si>
    <t>Spindle Epithelial Tumor with Thymus-like Elements</t>
  </si>
  <si>
    <t>SETTLE</t>
  </si>
  <si>
    <t>Thyroid, NOS</t>
  </si>
  <si>
    <t>THYRNOS</t>
  </si>
  <si>
    <t>Adrenal Medulla and Extra-adrenal Paraganglia Tumors</t>
  </si>
  <si>
    <t>PERNT</t>
  </si>
  <si>
    <t>Pheochromocytoma</t>
  </si>
  <si>
    <t>PHC</t>
  </si>
  <si>
    <t>Paraganglioma</t>
  </si>
  <si>
    <t>PGNG</t>
  </si>
  <si>
    <t>Peripheral Neuroblastic Tumors</t>
  </si>
  <si>
    <t>PNBLT</t>
  </si>
  <si>
    <t>Ganglioneuroblastoma, Intermixed</t>
  </si>
  <si>
    <t>GNBL</t>
  </si>
  <si>
    <t>Ganglioneuroblastoma, Nodular</t>
  </si>
  <si>
    <t>GNBLN</t>
  </si>
  <si>
    <t>Ganglioneuroma</t>
  </si>
  <si>
    <t>GN</t>
  </si>
  <si>
    <t>Neuroblastoma</t>
  </si>
  <si>
    <t>NBL</t>
  </si>
  <si>
    <t>Renal Tumors</t>
  </si>
  <si>
    <t>RENAL</t>
  </si>
  <si>
    <t>Wilms Tumor</t>
  </si>
  <si>
    <t>WT</t>
  </si>
  <si>
    <t>Nephrogenic Rest</t>
  </si>
  <si>
    <t>NR</t>
  </si>
  <si>
    <t>Pediatric Cystic Nephroma</t>
  </si>
  <si>
    <t>PCN</t>
  </si>
  <si>
    <t>Nephroblastic Process</t>
  </si>
  <si>
    <t>NP</t>
  </si>
  <si>
    <t>Chromophobe Renal Cell Carcinoma</t>
  </si>
  <si>
    <t>CHRCC</t>
  </si>
  <si>
    <t>Eosinophilic Solid and Cystic Renal Cell Carcinoma</t>
  </si>
  <si>
    <t>ERCC</t>
  </si>
  <si>
    <t>Papillary Renal Cell Carcinoma</t>
  </si>
  <si>
    <t>PRCC</t>
  </si>
  <si>
    <t>Renal Cell Carcinoma with MiT Translocations</t>
  </si>
  <si>
    <t>RCCMiT</t>
  </si>
  <si>
    <t>Renal Cell Carcinoma, NOS</t>
  </si>
  <si>
    <t>RCCNOS</t>
  </si>
  <si>
    <t>Clear Cell Sarcoma of the Kidney</t>
  </si>
  <si>
    <t>CCSK</t>
  </si>
  <si>
    <t>Mesoblastic Nephroma</t>
  </si>
  <si>
    <t>MESON</t>
  </si>
  <si>
    <t>Juxtaglomerular Cell Tumor</t>
  </si>
  <si>
    <t>JGCT</t>
  </si>
  <si>
    <t>Oncocytoma of the Kidney</t>
  </si>
  <si>
    <t>OKID</t>
  </si>
  <si>
    <t>Metanephric Adenofibroma</t>
  </si>
  <si>
    <t>MAF</t>
  </si>
  <si>
    <t>Angiomyolipoma</t>
  </si>
  <si>
    <t>AMLP</t>
  </si>
  <si>
    <t>Renal Medullary Carcinoma</t>
  </si>
  <si>
    <t>MRC</t>
  </si>
  <si>
    <t>Kidney Tumor, NOS</t>
  </si>
  <si>
    <t>KTNOS</t>
  </si>
  <si>
    <t>Bone and Cartilage</t>
  </si>
  <si>
    <t>BONE</t>
  </si>
  <si>
    <t>Osteosarcoma</t>
  </si>
  <si>
    <t>OS</t>
  </si>
  <si>
    <t>Osteoblastoma</t>
  </si>
  <si>
    <t>OB</t>
  </si>
  <si>
    <t>Other Solid Tumors</t>
  </si>
  <si>
    <t>Osteoid Osteoma</t>
  </si>
  <si>
    <t>OO</t>
  </si>
  <si>
    <t>Chordoma</t>
  </si>
  <si>
    <t>CHDM</t>
  </si>
  <si>
    <t>Aneurysmal Bone Cyst</t>
  </si>
  <si>
    <t>ABC</t>
  </si>
  <si>
    <t>Giant Cell Tumor of Bone</t>
  </si>
  <si>
    <t>GCTB</t>
  </si>
  <si>
    <t>Osteofibrous Dysplasia</t>
  </si>
  <si>
    <t>OFD</t>
  </si>
  <si>
    <t>Fibrous Dysplasia</t>
  </si>
  <si>
    <t>FIBD</t>
  </si>
  <si>
    <t>Chondrosarcoma</t>
  </si>
  <si>
    <t>CHS</t>
  </si>
  <si>
    <t>Bizarre Parosteal Osteochondromatous Proliferation</t>
  </si>
  <si>
    <t>BPOP</t>
  </si>
  <si>
    <t>Mesenchymal Chondrosarcoma</t>
  </si>
  <si>
    <t>MCHS</t>
  </si>
  <si>
    <t>Chondromyxoid Fibroma</t>
  </si>
  <si>
    <t>CFIB</t>
  </si>
  <si>
    <t>Adamantinoma</t>
  </si>
  <si>
    <t>ADMA</t>
  </si>
  <si>
    <t>Chondroblastoma</t>
  </si>
  <si>
    <t>CHBL</t>
  </si>
  <si>
    <t>Undifferentiated Tumors</t>
  </si>
  <si>
    <t>UNT</t>
  </si>
  <si>
    <t>Ewing Sarcoma</t>
  </si>
  <si>
    <t>EWS</t>
  </si>
  <si>
    <t>Round cell sarcoma with EWSR1::non-ETS fusions</t>
  </si>
  <si>
    <t>RCSEWSR1</t>
  </si>
  <si>
    <t>Soft Tissue Tumors</t>
  </si>
  <si>
    <t>Sarcoma with BCOR genetic alterations</t>
  </si>
  <si>
    <t>BCS</t>
  </si>
  <si>
    <t>CIC-rearranged Sarcoma</t>
  </si>
  <si>
    <t>CIC</t>
  </si>
  <si>
    <t>Sarcoma, NOS</t>
  </si>
  <si>
    <t>SARCNOS</t>
  </si>
  <si>
    <t>STT</t>
  </si>
  <si>
    <t>Rhabdoid Tumors</t>
  </si>
  <si>
    <t>RT</t>
  </si>
  <si>
    <t>So-called Fibrohistiocytic Tumors</t>
  </si>
  <si>
    <t>FHT</t>
  </si>
  <si>
    <t>Tenosynovial Giant Cell Tumor</t>
  </si>
  <si>
    <t>TGCT</t>
  </si>
  <si>
    <t>Fibroblastic and Myofibroblastic Tumors</t>
  </si>
  <si>
    <t>FMT</t>
  </si>
  <si>
    <t>Inflammatory Myofibroblastic Tumor</t>
  </si>
  <si>
    <t>IMT</t>
  </si>
  <si>
    <t>Infantile Fibrosarcoma</t>
  </si>
  <si>
    <t>IFS</t>
  </si>
  <si>
    <t>Low-grade Fibromyxoid Sarcoma</t>
  </si>
  <si>
    <t>FMS</t>
  </si>
  <si>
    <t>Dermatofibrosarcoma Protuberans</t>
  </si>
  <si>
    <t>DFSP</t>
  </si>
  <si>
    <t>Fibroma, NOS</t>
  </si>
  <si>
    <t>FBRNOS</t>
  </si>
  <si>
    <t>Desmoid Fibromatosis</t>
  </si>
  <si>
    <t>DES</t>
  </si>
  <si>
    <t>Sclerosing Epithelioid Fibrosarcoma</t>
  </si>
  <si>
    <t>SEFA</t>
  </si>
  <si>
    <t>Fibrosarcoma, NOS</t>
  </si>
  <si>
    <t>FIBS</t>
  </si>
  <si>
    <t>Fibrous Hamartoma of Infancy</t>
  </si>
  <si>
    <t>FHI</t>
  </si>
  <si>
    <t>Fibrous Umbilical Polyp</t>
  </si>
  <si>
    <t>FUP</t>
  </si>
  <si>
    <t>Lipofibromatosis</t>
  </si>
  <si>
    <t>LFBR</t>
  </si>
  <si>
    <t>Giant Cell Fibroblastoma</t>
  </si>
  <si>
    <t>GCFIB</t>
  </si>
  <si>
    <t>Myofibroblastic Neoplasm, NOS</t>
  </si>
  <si>
    <t>MFNNOS</t>
  </si>
  <si>
    <t>Myxofibrosarcoma</t>
  </si>
  <si>
    <t>MFS</t>
  </si>
  <si>
    <t>Solitary Fibrous Tumor</t>
  </si>
  <si>
    <t>SFT</t>
  </si>
  <si>
    <t>Fibromatosis Colli</t>
  </si>
  <si>
    <t>FCOL</t>
  </si>
  <si>
    <t>Sinonasal Angiofibroma</t>
  </si>
  <si>
    <t>SNAF</t>
  </si>
  <si>
    <t>Fibroepithelial Tumor</t>
  </si>
  <si>
    <t>FEPT</t>
  </si>
  <si>
    <t>Myositis Ossificans and Fibro-osseous Pseudotumor of Digits</t>
  </si>
  <si>
    <t>MOOFPD</t>
  </si>
  <si>
    <t>Vascular Tumors</t>
  </si>
  <si>
    <t>VT</t>
  </si>
  <si>
    <t>Angiosarcoma</t>
  </si>
  <si>
    <t>ANGS</t>
  </si>
  <si>
    <t>Kaposiform Hemangioendothelioma</t>
  </si>
  <si>
    <t>KHE</t>
  </si>
  <si>
    <t>Infantile Hemangioma</t>
  </si>
  <si>
    <t>IH</t>
  </si>
  <si>
    <t>Pericytic (perivascular) Tumors</t>
  </si>
  <si>
    <t>PT</t>
  </si>
  <si>
    <t>Myofibroma and Myopericytoma</t>
  </si>
  <si>
    <t>MFMP</t>
  </si>
  <si>
    <t>Adipocytic Tumors</t>
  </si>
  <si>
    <t>AT</t>
  </si>
  <si>
    <t>Lipoblastoma</t>
  </si>
  <si>
    <t>LBL</t>
  </si>
  <si>
    <t>Lipoma</t>
  </si>
  <si>
    <t>LPM</t>
  </si>
  <si>
    <t>Liposarcoma</t>
  </si>
  <si>
    <t>LIPO</t>
  </si>
  <si>
    <t>Myxoid Liposarcoma</t>
  </si>
  <si>
    <t>ML</t>
  </si>
  <si>
    <t>Tumors of Uncertain Derivation</t>
  </si>
  <si>
    <t>TUD</t>
  </si>
  <si>
    <t>Angiomatoid Fibrous Histiocytoma</t>
  </si>
  <si>
    <t>AFH</t>
  </si>
  <si>
    <t>Clear Cell Sarcoma of Soft Tissue</t>
  </si>
  <si>
    <t>CCS</t>
  </si>
  <si>
    <t>Desmoplastic Small Round Cell Tumor</t>
  </si>
  <si>
    <t>DSRCT</t>
  </si>
  <si>
    <t>Epithelioid Sarcoma</t>
  </si>
  <si>
    <t>EPIS</t>
  </si>
  <si>
    <t>Synovial Sarcoma</t>
  </si>
  <si>
    <t>SYNS</t>
  </si>
  <si>
    <t>Spindle Cell Sarcoma</t>
  </si>
  <si>
    <t>SCS</t>
  </si>
  <si>
    <t>Spindle Cell Tumor</t>
  </si>
  <si>
    <t>SCT</t>
  </si>
  <si>
    <t>Undifferentiated Pleomorphic Sarcoma</t>
  </si>
  <si>
    <t>UPS</t>
  </si>
  <si>
    <t>Undifferentiated Round Cell Sarcoma</t>
  </si>
  <si>
    <t>URCS</t>
  </si>
  <si>
    <t>Alveolar Soft Part Sarcoma</t>
  </si>
  <si>
    <t>ASPS</t>
  </si>
  <si>
    <t>NTRK-rearranged Spindle Cell Neoplasm</t>
  </si>
  <si>
    <t>SCN</t>
  </si>
  <si>
    <t>Angiomyxoma</t>
  </si>
  <si>
    <t>AMX</t>
  </si>
  <si>
    <t>Peripheral Nerve Sheath Tumors</t>
  </si>
  <si>
    <t>PNST</t>
  </si>
  <si>
    <t>Neurofibroma</t>
  </si>
  <si>
    <t>NFIB</t>
  </si>
  <si>
    <t>Malignant Peripheral Nerve Sheath Tumor</t>
  </si>
  <si>
    <t>MPNST</t>
  </si>
  <si>
    <t>Hybrid Nerve Sheath Tumor</t>
  </si>
  <si>
    <t>HNST</t>
  </si>
  <si>
    <t>Neuromuscular Choristoma</t>
  </si>
  <si>
    <t>NMC</t>
  </si>
  <si>
    <t>Perineurioma</t>
  </si>
  <si>
    <t>PNU</t>
  </si>
  <si>
    <t>Schwannoma</t>
  </si>
  <si>
    <t>SCHW</t>
  </si>
  <si>
    <t>Smooth Muscle Tumors</t>
  </si>
  <si>
    <t>SMT</t>
  </si>
  <si>
    <t>Leiomyoma</t>
  </si>
  <si>
    <t>LM</t>
  </si>
  <si>
    <t>EBV-associated Smooth Muscle Tumor</t>
  </si>
  <si>
    <t>EBVSMT</t>
  </si>
  <si>
    <t>Skeletal Muscle Tumors / Rhabdomyosarcoma</t>
  </si>
  <si>
    <t>SKMT/RMS</t>
  </si>
  <si>
    <t>Spindle Cell/Sclerosing Rhabdomyosarcoma</t>
  </si>
  <si>
    <t>SCSRMS</t>
  </si>
  <si>
    <t>Rhabdomyosarcoma</t>
  </si>
  <si>
    <t>Embryonal Rhabdomyosarcoma</t>
  </si>
  <si>
    <t>ERMS</t>
  </si>
  <si>
    <t>Alveolar Rhabdomyosarcoma</t>
  </si>
  <si>
    <t>ARMS</t>
  </si>
  <si>
    <t>Pleomorphic Rhabdomyosarcoma</t>
  </si>
  <si>
    <t>PLRMS</t>
  </si>
  <si>
    <t>Rhabdomyosarcoma, NOS</t>
  </si>
  <si>
    <t>RMSNOS</t>
  </si>
  <si>
    <t>Germ Cell Tumors</t>
  </si>
  <si>
    <t>GCT</t>
  </si>
  <si>
    <t>Mature Teratoma</t>
  </si>
  <si>
    <t>MTTO</t>
  </si>
  <si>
    <t>Malignant Mixed Germ Cell Tumor</t>
  </si>
  <si>
    <t>MGCT</t>
  </si>
  <si>
    <t>Yolk Sac Tumor</t>
  </si>
  <si>
    <t>YST</t>
  </si>
  <si>
    <t>Choriocarcinoma</t>
  </si>
  <si>
    <t>CCA</t>
  </si>
  <si>
    <t>Dysgerminoma</t>
  </si>
  <si>
    <t>DG</t>
  </si>
  <si>
    <t>Germinoma</t>
  </si>
  <si>
    <t>GERMA</t>
  </si>
  <si>
    <t>Seminoma</t>
  </si>
  <si>
    <t>SEMA</t>
  </si>
  <si>
    <t>Germ Cell Tumor, NOS</t>
  </si>
  <si>
    <t>GCTNOS</t>
  </si>
  <si>
    <t>Head and Neck Tumors</t>
  </si>
  <si>
    <t>HNT</t>
  </si>
  <si>
    <t>Acinic Cell Carcinoma</t>
  </si>
  <si>
    <t>ACCC</t>
  </si>
  <si>
    <t>Adenoid Cystic Carcinoma</t>
  </si>
  <si>
    <t>ACYC</t>
  </si>
  <si>
    <t>Mucoepidermoid Carcinoma</t>
  </si>
  <si>
    <t>MUCC</t>
  </si>
  <si>
    <t>Myoepithelial Carcinoma</t>
  </si>
  <si>
    <t>MYEC</t>
  </si>
  <si>
    <t>Secretory Carcinoma</t>
  </si>
  <si>
    <t>SECC</t>
  </si>
  <si>
    <t>Sclerosing Microcystic Adenocarcinoma</t>
  </si>
  <si>
    <t>SMA</t>
  </si>
  <si>
    <t>Pleomorphic Adenoma</t>
  </si>
  <si>
    <t>PADA</t>
  </si>
  <si>
    <t>Sialoblastoma</t>
  </si>
  <si>
    <t>SBL</t>
  </si>
  <si>
    <t>Salivary Gland Anlage Tumor</t>
  </si>
  <si>
    <t>SGAT</t>
  </si>
  <si>
    <t>Odontogenic Carcinoma</t>
  </si>
  <si>
    <t>ODGC</t>
  </si>
  <si>
    <t>Adenomatoid Odontogenic Tumor</t>
  </si>
  <si>
    <t>AOT</t>
  </si>
  <si>
    <t>Nasopharyngeal Carcinoma</t>
  </si>
  <si>
    <t>NPC</t>
  </si>
  <si>
    <t>Chondromesenchymal Hamartoma</t>
  </si>
  <si>
    <t>CHH</t>
  </si>
  <si>
    <t>NUT Carcinoma</t>
  </si>
  <si>
    <t>NUTC</t>
  </si>
  <si>
    <t>Dyskeratosis Congenita</t>
  </si>
  <si>
    <t>DKC</t>
  </si>
  <si>
    <t>Sinonasal Squamous Cell Carcinoma</t>
  </si>
  <si>
    <t>SNSC</t>
  </si>
  <si>
    <t>Head and Neck, NOS</t>
  </si>
  <si>
    <t>HANNOS</t>
  </si>
  <si>
    <t>Genital Tumors</t>
  </si>
  <si>
    <t>GT</t>
  </si>
  <si>
    <t>Small Cell Carcinoma of the Ovary, Hypercalcemic Type</t>
  </si>
  <si>
    <t>SCCO</t>
  </si>
  <si>
    <t>Serous Cystadenoma</t>
  </si>
  <si>
    <t>SCY</t>
  </si>
  <si>
    <t>Mucinous Borderline Tumor</t>
  </si>
  <si>
    <t>MBOV</t>
  </si>
  <si>
    <t>Mucinous Tumor, NOS</t>
  </si>
  <si>
    <t>MUTNOS</t>
  </si>
  <si>
    <t>Juvenile Granulosa Cell Tumor</t>
  </si>
  <si>
    <t>JGCOT</t>
  </si>
  <si>
    <t>Sclerosing Stromal Tumor</t>
  </si>
  <si>
    <t>OSST</t>
  </si>
  <si>
    <t>Sertoli-Leydig Cell Tumor</t>
  </si>
  <si>
    <t>SLCT</t>
  </si>
  <si>
    <t>Clear Cell Adenocarcinoma</t>
  </si>
  <si>
    <t>CCAD</t>
  </si>
  <si>
    <t>SMARCA4-Deficient Uterine Sarcoma</t>
  </si>
  <si>
    <t>SDUS</t>
  </si>
  <si>
    <t>Mucinous Carcinoma</t>
  </si>
  <si>
    <t>MUCA</t>
  </si>
  <si>
    <t>Sex Cord-stromal Tumor</t>
  </si>
  <si>
    <t>SCST</t>
  </si>
  <si>
    <t>Digestive System Tumors</t>
  </si>
  <si>
    <t>DST</t>
  </si>
  <si>
    <t>Liver Tumors</t>
  </si>
  <si>
    <t>LIV</t>
  </si>
  <si>
    <t>Hepatoblastoma</t>
  </si>
  <si>
    <t>HB</t>
  </si>
  <si>
    <t>Intrahepatic Cholangiocarcinoma</t>
  </si>
  <si>
    <t>IHCC</t>
  </si>
  <si>
    <t>Hepatocellular Carcinoma</t>
  </si>
  <si>
    <t>HCC</t>
  </si>
  <si>
    <t>Focal Nodular Hyperplasia</t>
  </si>
  <si>
    <t>HFNH</t>
  </si>
  <si>
    <t>Fibrolamellar Variant of Hepatocellular Carcinoma</t>
  </si>
  <si>
    <t>FLC</t>
  </si>
  <si>
    <t>Embryonal Sarcoma of the Liver</t>
  </si>
  <si>
    <t>ESLIV</t>
  </si>
  <si>
    <t>Liver, NOS</t>
  </si>
  <si>
    <t>LIVNOS</t>
  </si>
  <si>
    <t>Pancreatic Tumors</t>
  </si>
  <si>
    <t>PAN</t>
  </si>
  <si>
    <t>Solid Pseudopapillary Neoplasm of the Pancreas</t>
  </si>
  <si>
    <t>SPN</t>
  </si>
  <si>
    <t>Pancreatic Neuroendocrine Tumor</t>
  </si>
  <si>
    <t>PANET</t>
  </si>
  <si>
    <t>Pancreatic Acinar Cell Carcinoma</t>
  </si>
  <si>
    <t>PACCC</t>
  </si>
  <si>
    <t>Gastrointestinal Tumors</t>
  </si>
  <si>
    <t>GIT</t>
  </si>
  <si>
    <t>Colorectal Adenocarcinoma</t>
  </si>
  <si>
    <t>CAD</t>
  </si>
  <si>
    <t>Gastric Adenocarcinoma</t>
  </si>
  <si>
    <t>GAD</t>
  </si>
  <si>
    <t>Tubular Adenoma</t>
  </si>
  <si>
    <t>TADA</t>
  </si>
  <si>
    <t>Signet Ring Cell Carcinoma</t>
  </si>
  <si>
    <t>SSRCC</t>
  </si>
  <si>
    <t>Gastrointestinal Stromal Tumor</t>
  </si>
  <si>
    <t>GIST</t>
  </si>
  <si>
    <t>Gastrointestinal Neuroendocrine Tumor</t>
  </si>
  <si>
    <t>GINET</t>
  </si>
  <si>
    <t>Skin Tumors</t>
  </si>
  <si>
    <t>SKN</t>
  </si>
  <si>
    <t>Basal Cell Carcinoma</t>
  </si>
  <si>
    <t>BCC</t>
  </si>
  <si>
    <t>Sebaceous Carcinoma</t>
  </si>
  <si>
    <t>SEBA</t>
  </si>
  <si>
    <t>Melanoma</t>
  </si>
  <si>
    <t>MEL</t>
  </si>
  <si>
    <t>Nodular Melanoma</t>
  </si>
  <si>
    <t>NODNEL</t>
  </si>
  <si>
    <t>Spitz Nevus</t>
  </si>
  <si>
    <t>SPNS</t>
  </si>
  <si>
    <t>Spitzoid Melanoma</t>
  </si>
  <si>
    <t>SPZM</t>
  </si>
  <si>
    <t>Spitz Melanocytoma</t>
  </si>
  <si>
    <t>SPTZMCYT</t>
  </si>
  <si>
    <t>Melanocytic Nevus</t>
  </si>
  <si>
    <t>MLN</t>
  </si>
  <si>
    <t>Congenital Melanocytic Nevus</t>
  </si>
  <si>
    <t>CMLN</t>
  </si>
  <si>
    <t>Neurothekeoma</t>
  </si>
  <si>
    <t>NTK</t>
  </si>
  <si>
    <t>Squamous Cell Carcinoma</t>
  </si>
  <si>
    <t>SCC</t>
  </si>
  <si>
    <t>Dysplastic Melanocytic Nevus</t>
  </si>
  <si>
    <t>DMLN</t>
  </si>
  <si>
    <t>Skin Tumor, NOS</t>
  </si>
  <si>
    <t>SKNNOS</t>
  </si>
  <si>
    <t>Other</t>
  </si>
  <si>
    <t>OTHER</t>
  </si>
  <si>
    <t>Carcinoma, NOS</t>
  </si>
  <si>
    <t>CNOS</t>
  </si>
  <si>
    <t>Adenoma, NOS</t>
  </si>
  <si>
    <t>ADMNOS</t>
  </si>
  <si>
    <t>Solid Tumor, NOS</t>
  </si>
  <si>
    <t>STNOS</t>
  </si>
  <si>
    <t>Cutaneous Myxoma</t>
  </si>
  <si>
    <t>CMX</t>
  </si>
  <si>
    <t>Adenocarcinoma, NOS</t>
  </si>
  <si>
    <t>ADNOS</t>
  </si>
  <si>
    <t>Neuroendocrine Tumor, NOS</t>
  </si>
  <si>
    <t>NETNOS</t>
  </si>
  <si>
    <t>Eye Tumors</t>
  </si>
  <si>
    <t>EYE</t>
  </si>
  <si>
    <t>Retinoblastoma</t>
  </si>
  <si>
    <t>RBL</t>
  </si>
  <si>
    <t>Thoracic Tumors</t>
  </si>
  <si>
    <t>THRIC</t>
  </si>
  <si>
    <t>Thymoma</t>
  </si>
  <si>
    <t>THM</t>
  </si>
  <si>
    <t>Thymic Carcinoma</t>
  </si>
  <si>
    <t>THC</t>
  </si>
  <si>
    <t>Pleuropulmonary Blastoma</t>
  </si>
  <si>
    <t>PPB</t>
  </si>
  <si>
    <t>Pulmonary Blastoma</t>
  </si>
  <si>
    <t>PULB</t>
  </si>
  <si>
    <t>Heme WHO</t>
  </si>
  <si>
    <t>Lymphoid Neoplasms</t>
  </si>
  <si>
    <t>Lymphoid Neoplasm</t>
  </si>
  <si>
    <t>LYMPH</t>
  </si>
  <si>
    <t>B-Cell Lymphoblastic Leukemia/Lymphoma</t>
  </si>
  <si>
    <t>BALL</t>
  </si>
  <si>
    <t>B-Cell Acute Lymphoblastic Leukemia/Lymphoma with BCR::ABL1 Fusion</t>
  </si>
  <si>
    <t>BALLBCRABL1</t>
  </si>
  <si>
    <t>Lymphoblastic Leukemia</t>
  </si>
  <si>
    <t>B-Cell Acute Lymphoblastic Leukemia/Lymphoma with BCR::ABL1-like Features</t>
  </si>
  <si>
    <t>BALLBCRABL1L</t>
  </si>
  <si>
    <t>B-Cell Acute Lymphoblastic Leukemia/Lymphoma with CRLF2 Rearrangement</t>
  </si>
  <si>
    <t>BALLCRLF2</t>
  </si>
  <si>
    <t>B-Cell Acute Lymphoblastic Leukemia/Lymphoma with DUX4 Rearrangement</t>
  </si>
  <si>
    <t>BALLDUX4</t>
  </si>
  <si>
    <t>T*</t>
  </si>
  <si>
    <t>B-Cell Acute Lymphoblastic Leukemia/Lymphoma with ETV6::RUNX1 Fusion</t>
  </si>
  <si>
    <t>BALLETV6RUNX1</t>
  </si>
  <si>
    <t>B-Cell Acute Lymphoblastic Leukemia/Lymphoma with ETV6::RUNX1-like Features</t>
  </si>
  <si>
    <t>BALLETV6RUNX1L</t>
  </si>
  <si>
    <t>B-Cell Acute Lymphoblastic Leukemia/Lymphoma with HLF Rearrangement</t>
  </si>
  <si>
    <t>BALLHLF</t>
  </si>
  <si>
    <t>B-Cell Acute Lymphoblastic Leukemia/Lymphoma with Hyperdiploidy</t>
  </si>
  <si>
    <t>BALLHYPER</t>
  </si>
  <si>
    <t>B-Cell Acute Lymphoblastic Leukemia/Lymphoma with Hypodiploidy</t>
  </si>
  <si>
    <t>BALLHYPO</t>
  </si>
  <si>
    <t>B-Cell Acute Lymphoblastic Leukemia/Lymphoma with Near Haploidy</t>
  </si>
  <si>
    <t>BALLNH</t>
  </si>
  <si>
    <t>B-Cell Acute Lymphoblastic Leukemia/Lymphoma with iAMP21</t>
  </si>
  <si>
    <t>BALLIAMP21</t>
  </si>
  <si>
    <t>B-Cell Acute Lymphoblastic Leukemia/Lymphoma with IGH::CEBPD Fusion</t>
  </si>
  <si>
    <t>BALLIGHCEBPD</t>
  </si>
  <si>
    <t>B-Cell Acute Lymphoblastic Leukemia/Lymphoma with IKZF1 N159Y Mutation</t>
  </si>
  <si>
    <t>BALLIKZF1</t>
  </si>
  <si>
    <t>B-Cell Acute Lymphoblastic Leukemia/Lymphoma with MEF2D Rearrangement</t>
  </si>
  <si>
    <t>BALLMEF2D</t>
  </si>
  <si>
    <t>B-Cell Acute Lymphoblastic Leukemia/Lymphoma with MYC Rearrangement</t>
  </si>
  <si>
    <t>BALLMYC</t>
  </si>
  <si>
    <t>B-Cell Acute Lymphoblastic Leukemia/Lymphoma, NOS</t>
  </si>
  <si>
    <t>BALLNOS</t>
  </si>
  <si>
    <t>B-Cell Acute Lymphoblastic Leukemia/Lymphoma, NEC</t>
  </si>
  <si>
    <t>BALLNEC</t>
  </si>
  <si>
    <t>B-Cell Acute Lymphoblastic Leukemia/Lymphoma with NUTM1 Rearrangement</t>
  </si>
  <si>
    <t>BALLNUTM1</t>
  </si>
  <si>
    <t>B-Cell Acute Lymphoblastic Leukemia/Lymphoma with PAX5 Alteration</t>
  </si>
  <si>
    <t>BALLPAX5</t>
  </si>
  <si>
    <t>B-Cell Acute Lymphoblastic Leukemia/Lymphoma with PAX5 P80R Mutation</t>
  </si>
  <si>
    <t>BALLPAX5P80R</t>
  </si>
  <si>
    <t>B-Cell Acute Lymphoblastic Leukemia/Lymphoma with TCF3::PBX1 Fusion</t>
  </si>
  <si>
    <t>BALLTCF3PBX1</t>
  </si>
  <si>
    <t>B-Cell Acute Lymphoblastic Leukemia/Lymphoma with ZEB2 Alteration and CEBPE Rearrangement</t>
  </si>
  <si>
    <t>BALLZEB2CEBPE</t>
  </si>
  <si>
    <t>B-Cell Acute Lymphoblastic Leukemia/Lymphoma with ZNF384 Rearrangement</t>
  </si>
  <si>
    <t>BALLZNF384</t>
  </si>
  <si>
    <t>B-Cell Acute Lymphoblastic Leukemia/Lymphoma with ZNF384 Rearrangement-like Features</t>
  </si>
  <si>
    <t>BALLZNF384L</t>
  </si>
  <si>
    <t>B-Cell Acute Lymphoblastic Leukemia/Lymphoma with KMT2A Rearrangement</t>
  </si>
  <si>
    <t>BALLKMT2A</t>
  </si>
  <si>
    <t>B-Cell Acute Lymphoblastic Leukemia/Lymphoma with KMT2A Rearrangement-like Features</t>
  </si>
  <si>
    <t>BALLKMT2AL</t>
  </si>
  <si>
    <t>T-Cell Lymphoblastic Leukemia/Lymphoma</t>
  </si>
  <si>
    <t>TALL</t>
  </si>
  <si>
    <t>T-Cell Acute Lymphoblastic Leukemia/Lymphoma with BCL11B Rearrangement</t>
  </si>
  <si>
    <t>TALLBCL11B</t>
  </si>
  <si>
    <t>T-Cell Acute Lymphoblastic Leukemia/Lymphoma with HOXA Activation</t>
  </si>
  <si>
    <t>TALLHOXA</t>
  </si>
  <si>
    <t>T-Cell Acute Lymphoblastic Leukemia/Lymphoma with LMO1/2 Activation</t>
  </si>
  <si>
    <t>TALLLMO1/2</t>
  </si>
  <si>
    <t>T-Cell Acute Lymphoblastic Leukemia/Lymphoma with NKX2 Activation</t>
  </si>
  <si>
    <t>TALLNKX2</t>
  </si>
  <si>
    <t>T-Cell Acute Lymphoblastic Leukemia/Lymphoma, NOS</t>
  </si>
  <si>
    <t>TALLNOS</t>
  </si>
  <si>
    <t>T-Cell Acute Lymphoblastic Leukemia/Lymphoma, NEC</t>
  </si>
  <si>
    <t>TALLNEC</t>
  </si>
  <si>
    <t>T-Cell Acute Lymphoblastic Leukemia/Lymphoma with TAL1 Activation</t>
  </si>
  <si>
    <t>TALLTAL1</t>
  </si>
  <si>
    <t>T-Cell Acute Lymphoblastic Leukemia/Lymphoma with TAL2 Activation</t>
  </si>
  <si>
    <t>TALLTAL2</t>
  </si>
  <si>
    <t>T-Cell Acute Lymphoblastic Leukemia/Lymphoma with TLX1 Activation</t>
  </si>
  <si>
    <t>TALLTLX1</t>
  </si>
  <si>
    <t>T-Cell Acute Lymphoblastic Leukemia/Lymphoma with TLX3 Activation</t>
  </si>
  <si>
    <t>TALLTLX3</t>
  </si>
  <si>
    <t>T-Cell Acute Lymphoblastic Leukemia/Lymphoma with SPI1 Rearrangement</t>
  </si>
  <si>
    <t>TALLSPI1</t>
  </si>
  <si>
    <t>Hodgkin Lymphoma</t>
  </si>
  <si>
    <t>HL</t>
  </si>
  <si>
    <t>Classical Hodgkin Lymphoma</t>
  </si>
  <si>
    <t>CHL</t>
  </si>
  <si>
    <t>Nodular Lymphocyte Predominant Hodgkin Lymphoma</t>
  </si>
  <si>
    <t>NLPHL</t>
  </si>
  <si>
    <t>Non-Hodgkin Lymphoma</t>
  </si>
  <si>
    <t>NHL</t>
  </si>
  <si>
    <t>Non-Hodgkin Lymphoma, NOS</t>
  </si>
  <si>
    <t>NHLNOS</t>
  </si>
  <si>
    <t>Mature B-Cell Neoplasms</t>
  </si>
  <si>
    <t>MBN</t>
  </si>
  <si>
    <t>Burkitt Lymphoma</t>
  </si>
  <si>
    <t>BL</t>
  </si>
  <si>
    <t>Pediatric-type Follicular Lymphoma</t>
  </si>
  <si>
    <t>PFL</t>
  </si>
  <si>
    <t>Diffuse Large B-Cell Lymphoma, EBV Positive</t>
  </si>
  <si>
    <t>DLBCLEBVP</t>
  </si>
  <si>
    <t>Diffuse Large B-Cell Lymphoma, NOS</t>
  </si>
  <si>
    <t>DLBCLNOS</t>
  </si>
  <si>
    <t>Extranodal Marginal Zone Lymphoma</t>
  </si>
  <si>
    <t>EMZL</t>
  </si>
  <si>
    <t>Extranodal NK/T-cell Lymphoma</t>
  </si>
  <si>
    <t>ENKTL</t>
  </si>
  <si>
    <t>Follicular Lymphoma</t>
  </si>
  <si>
    <t>FL</t>
  </si>
  <si>
    <t>High-Grade B-Cell Lymphoma, NOS</t>
  </si>
  <si>
    <t>HGBCL</t>
  </si>
  <si>
    <t>Anaplastic Large Cell Lymphoma, ALK Negative</t>
  </si>
  <si>
    <t>ALCLALKN</t>
  </si>
  <si>
    <t>Anaplastic Large Cell Lymphoma, ALK Positive</t>
  </si>
  <si>
    <t>ALCLALKP</t>
  </si>
  <si>
    <t>Primary Mediastinal Large B-cell Lymphoma</t>
  </si>
  <si>
    <t>PMBL</t>
  </si>
  <si>
    <t>Hepatosplenic T-cell lymphoma</t>
  </si>
  <si>
    <t>HEPTL</t>
  </si>
  <si>
    <t>Acute Lymphoblastic Leukemia/Lymphoma, NOS</t>
  </si>
  <si>
    <t>ALLNOS</t>
  </si>
  <si>
    <t>Polymorphic Posttransplant Lymphoproliferative Disorder</t>
  </si>
  <si>
    <t>PPTLD</t>
  </si>
  <si>
    <t>Lymphoproliferative Diseases</t>
  </si>
  <si>
    <t>Monomorphic Posttransplant Lymphoproliferative Disorder</t>
  </si>
  <si>
    <t>MPTLD</t>
  </si>
  <si>
    <t>Myeloid Neoplasm</t>
  </si>
  <si>
    <t>MYEL</t>
  </si>
  <si>
    <t>Myeloid Neoplasm, NOS</t>
  </si>
  <si>
    <t>MYELNOS</t>
  </si>
  <si>
    <t>Myeloid Leukemia</t>
  </si>
  <si>
    <t>Acute Myeloid Leukemia</t>
  </si>
  <si>
    <t>AML</t>
  </si>
  <si>
    <t>Acute Myeloid Leukemia with Defining Genetic Abnormalities</t>
  </si>
  <si>
    <t>AMLDGA</t>
  </si>
  <si>
    <t>Acute Myeloid Leukemia with BCL11B Rearrangement</t>
  </si>
  <si>
    <t>AMLBCL11B</t>
  </si>
  <si>
    <t>Acute Myeloid Leukemia with BCR::ABL1 Fusion</t>
  </si>
  <si>
    <t>AMLBCRABL1</t>
  </si>
  <si>
    <t>Acute Myeloid Leukemia with CBFB::MYH11 Fusion</t>
  </si>
  <si>
    <t>AMLCBFBMYH11</t>
  </si>
  <si>
    <t>Acute Myeloid Leukemia with CEBPA Mutation</t>
  </si>
  <si>
    <t>AMLCEBPA</t>
  </si>
  <si>
    <t>Acute Myeloid Leukemia with DEK::NUP214 Fusion</t>
  </si>
  <si>
    <t>AMLDEKNUP214</t>
  </si>
  <si>
    <t>Acute Myeloid Leukemia with ETS Family Rearrangement</t>
  </si>
  <si>
    <t>AMLETS</t>
  </si>
  <si>
    <t>Acute Myeloid Leukemia with GATA1 Mutation</t>
  </si>
  <si>
    <t>AMLGATA1</t>
  </si>
  <si>
    <t>Acute Myeloid Leukemia with GLIS Family Rearrangement</t>
  </si>
  <si>
    <t>AMLGLIS</t>
  </si>
  <si>
    <t>Acute Myeloid Leukemia with KAT6A Rearrangement</t>
  </si>
  <si>
    <t>AMLKAT6A</t>
  </si>
  <si>
    <t>Acute Myeloid Leukemia with KMT2A Rearrangement</t>
  </si>
  <si>
    <t>AMLKMT2A</t>
  </si>
  <si>
    <t>Acute Myeloid Leukemia with KMT2A-PTD</t>
  </si>
  <si>
    <t>AMLKMT2APTD</t>
  </si>
  <si>
    <t>Acute Myeloid Leukemia with MECOM Rearrangement</t>
  </si>
  <si>
    <t>AMLMECOM</t>
  </si>
  <si>
    <t>Acute Myeloid Leukemia with NPM1 Mutation</t>
  </si>
  <si>
    <t>AMLNPM1</t>
  </si>
  <si>
    <t>Acute Myeloid Leukemia with NUP98 Rearrangement</t>
  </si>
  <si>
    <t>AMLNUP98</t>
  </si>
  <si>
    <t>Acute Myeloid Leukemia with PICALM::MLLT10 Fusion</t>
  </si>
  <si>
    <t>AMLPICALMMLLT10</t>
  </si>
  <si>
    <t>Acute Myeloid Leukemia with RBM15::MRTFA Fusion</t>
  </si>
  <si>
    <t>AMLRBM15MRTFA</t>
  </si>
  <si>
    <t>Acute myeloid leukemia with RUNX1::CBFA2T family fusion</t>
  </si>
  <si>
    <t>AMLRUNX1CBFA2T</t>
  </si>
  <si>
    <t>Acute Myeloid Leukemia with RUNX1::RUNX1T1 Fusion</t>
  </si>
  <si>
    <t>AMLRUNX1RUNX1T1</t>
  </si>
  <si>
    <t>Acute Myeloid Leukemia with UBTF Tandem Duplication</t>
  </si>
  <si>
    <t>AMLUBTF</t>
  </si>
  <si>
    <t>Acute Promyelocytic Leukemia with PML::RARA fusion</t>
  </si>
  <si>
    <t>APLPMLRARA</t>
  </si>
  <si>
    <t>Acute Myeloid Leukemia, Myelodysplasia-related</t>
  </si>
  <si>
    <t>AMLMR</t>
  </si>
  <si>
    <t>Acute Myeloid Leukemia Defined by Differentiation</t>
  </si>
  <si>
    <t>AMLDBD</t>
  </si>
  <si>
    <t>Acute Myeloid Leukemia without Maturation</t>
  </si>
  <si>
    <t>AMLM1</t>
  </si>
  <si>
    <t>Acute Myeloid Leukemia with Maturation</t>
  </si>
  <si>
    <t>AMLM2</t>
  </si>
  <si>
    <t>Acute Promyelocytic Leukemia</t>
  </si>
  <si>
    <t>APL</t>
  </si>
  <si>
    <t>Acute Myelomonocytic Leukemia</t>
  </si>
  <si>
    <t>AMML</t>
  </si>
  <si>
    <t>Acute Monocytic Leukemia</t>
  </si>
  <si>
    <t>AMOL</t>
  </si>
  <si>
    <t>Acute Erythroid Leukemia</t>
  </si>
  <si>
    <t>AEL</t>
  </si>
  <si>
    <t>Acute Megakaryoblastic Leukemia</t>
  </si>
  <si>
    <t>AMKL</t>
  </si>
  <si>
    <t>Myeloid Neoplasms Associated with Germline Predisposition</t>
  </si>
  <si>
    <t>MYELGP</t>
  </si>
  <si>
    <t>Myeloid Leukemia of Down Syndrome</t>
  </si>
  <si>
    <t>MYELDS</t>
  </si>
  <si>
    <t>Acute Myeloid Leukemia, NOS</t>
  </si>
  <si>
    <t>AMLNOS</t>
  </si>
  <si>
    <t>Acute Myeloid Leukemia, NEC</t>
  </si>
  <si>
    <t>AMLNEC</t>
  </si>
  <si>
    <t>Myeloproliferative Neoplasms</t>
  </si>
  <si>
    <t>MPN</t>
  </si>
  <si>
    <t>Chronic Myeloid Leukemia</t>
  </si>
  <si>
    <t>CML</t>
  </si>
  <si>
    <t>Other Heme Tumors</t>
  </si>
  <si>
    <t>Chronic Neutrophilic Leukemia</t>
  </si>
  <si>
    <t>CNL</t>
  </si>
  <si>
    <t>Juvenile Myelomonocytic Leukemia</t>
  </si>
  <si>
    <t>JMML</t>
  </si>
  <si>
    <t>Myeloproliferative Neoplasms, NOS</t>
  </si>
  <si>
    <t>MPNNOS</t>
  </si>
  <si>
    <t>Myeloproliferative Neoplasms, NEC</t>
  </si>
  <si>
    <t>MPNNEC</t>
  </si>
  <si>
    <t>Myelodysplastic Syndromes</t>
  </si>
  <si>
    <t>MDS</t>
  </si>
  <si>
    <t>Myeloid Sarcoma</t>
  </si>
  <si>
    <t>MS</t>
  </si>
  <si>
    <t>Other Hematologic Malignancy</t>
  </si>
  <si>
    <t>OHM</t>
  </si>
  <si>
    <t>General Leukemia</t>
  </si>
  <si>
    <t>GENLK</t>
  </si>
  <si>
    <t>Blastic Plasmacytoid Dendritic Cell Neoplasm</t>
  </si>
  <si>
    <t>BPDCN</t>
  </si>
  <si>
    <t>Blood Cancer of Unknown Primary</t>
  </si>
  <si>
    <t>BCUP</t>
  </si>
  <si>
    <t>Atypical Dendritic Cell Tumor</t>
  </si>
  <si>
    <t>ADCT</t>
  </si>
  <si>
    <t>Acute Leukemias of Ambiguous Lineage</t>
  </si>
  <si>
    <t>ALAL</t>
  </si>
  <si>
    <t>Mixed Phenotype Acute Leukemia with KMT2A rearrangement</t>
  </si>
  <si>
    <t>MPALKMT2A</t>
  </si>
  <si>
    <t>Mixed Phenotype Acute Leukemia, T/Myeloid, NOS</t>
  </si>
  <si>
    <t>MPALTNOS</t>
  </si>
  <si>
    <t>Eosinophilia, NOS</t>
  </si>
  <si>
    <t>ESOP</t>
  </si>
  <si>
    <t>Langerhans Cell Histiocytosis</t>
  </si>
  <si>
    <t>LCH</t>
  </si>
  <si>
    <t>Rosai-Dorfman Disease</t>
  </si>
  <si>
    <t>RDD</t>
  </si>
  <si>
    <t>Juvenile Xanthogranuloma</t>
  </si>
  <si>
    <t>JXG</t>
  </si>
  <si>
    <t>Histiocytic Neoplasm, NOS</t>
  </si>
  <si>
    <t>HNNOS</t>
  </si>
  <si>
    <t>Acute Undifferentiated Leukemia</t>
  </si>
  <si>
    <t>AUL</t>
  </si>
  <si>
    <t>Mixed Phenotype Acute Leukemia, B/Myeloid, NOS</t>
  </si>
  <si>
    <t>MPALBNOS</t>
  </si>
  <si>
    <t>Acute Undifferentiated Leukemia, KMT2A rearrangement</t>
  </si>
  <si>
    <t>AULKMT2A</t>
  </si>
  <si>
    <t>Hematologic Malignancy, NOS</t>
  </si>
  <si>
    <t>HMNOS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</si>
</sst>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D0D0D"/>
      <name val="Calibri"/>
      <family val="2"/>
    </font>
    <font>
      <sz val="12"/>
      <color rgb="FF1D1C1D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rgb="FF0D0D0D"/>
      <name val="Calibri"/>
      <family val="2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2"/>
      <color theme="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2"/>
      <color theme="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 tint="4.9989318521683403E-2"/>
      <name val="Calibri"/>
      <family val="2"/>
    </font>
    <font>
      <sz val="12"/>
      <color rgb="FFFF0000"/>
      <name val="Calibri"/>
      <family val="2"/>
    </font>
    <font>
      <i/>
      <sz val="12"/>
      <color theme="1"/>
      <name val="Calibri"/>
      <family val="2"/>
    </font>
    <font>
      <sz val="12"/>
      <color rgb="FF808087"/>
      <name val="Calibri"/>
      <family val="2"/>
    </font>
    <font>
      <b/>
      <sz val="12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Aptos Narrow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936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858E"/>
        <bgColor indexed="64"/>
      </patternFill>
    </fill>
    <fill>
      <patternFill patternType="solid">
        <fgColor rgb="FFFFE84F"/>
        <bgColor indexed="64"/>
      </patternFill>
    </fill>
    <fill>
      <patternFill patternType="solid">
        <fgColor rgb="FFF3FFB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5E4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DF593"/>
        <bgColor indexed="64"/>
      </patternFill>
    </fill>
    <fill>
      <patternFill patternType="solid">
        <fgColor rgb="FFF5FACA"/>
        <bgColor indexed="64"/>
      </patternFill>
    </fill>
    <fill>
      <patternFill patternType="solid">
        <fgColor rgb="FF82517D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D94E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5E6A2"/>
        <bgColor rgb="FF000000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5" borderId="1" xfId="0" applyFont="1" applyFill="1" applyBorder="1"/>
    <xf numFmtId="0" fontId="2" fillId="5" borderId="5" xfId="0" applyFont="1" applyFill="1" applyBorder="1"/>
    <xf numFmtId="0" fontId="2" fillId="7" borderId="1" xfId="0" applyFont="1" applyFill="1" applyBorder="1"/>
    <xf numFmtId="0" fontId="2" fillId="16" borderId="4" xfId="0" applyFont="1" applyFill="1" applyBorder="1" applyAlignment="1">
      <alignment horizontal="right"/>
    </xf>
    <xf numFmtId="0" fontId="2" fillId="16" borderId="1" xfId="0" applyFont="1" applyFill="1" applyBorder="1"/>
    <xf numFmtId="0" fontId="6" fillId="0" borderId="0" xfId="0" applyFont="1"/>
    <xf numFmtId="0" fontId="6" fillId="0" borderId="0" xfId="0" applyFont="1" applyAlignment="1">
      <alignment horizontal="right"/>
    </xf>
    <xf numFmtId="0" fontId="2" fillId="16" borderId="0" xfId="0" applyFont="1" applyFill="1"/>
    <xf numFmtId="0" fontId="6" fillId="19" borderId="3" xfId="0" applyFont="1" applyFill="1" applyBorder="1"/>
    <xf numFmtId="0" fontId="6" fillId="6" borderId="6" xfId="0" applyFont="1" applyFill="1" applyBorder="1"/>
    <xf numFmtId="0" fontId="6" fillId="7" borderId="1" xfId="0" applyFont="1" applyFill="1" applyBorder="1"/>
    <xf numFmtId="0" fontId="6" fillId="19" borderId="5" xfId="0" applyFont="1" applyFill="1" applyBorder="1"/>
    <xf numFmtId="0" fontId="2" fillId="7" borderId="5" xfId="0" applyFont="1" applyFill="1" applyBorder="1"/>
    <xf numFmtId="0" fontId="6" fillId="19" borderId="6" xfId="0" applyFont="1" applyFill="1" applyBorder="1"/>
    <xf numFmtId="0" fontId="2" fillId="5" borderId="3" xfId="0" applyFont="1" applyFill="1" applyBorder="1"/>
    <xf numFmtId="0" fontId="11" fillId="0" borderId="0" xfId="0" applyFont="1"/>
    <xf numFmtId="0" fontId="0" fillId="0" borderId="0" xfId="0" applyAlignment="1">
      <alignment wrapText="1"/>
    </xf>
    <xf numFmtId="0" fontId="0" fillId="14" borderId="14" xfId="0" applyFill="1" applyBorder="1" applyAlignment="1">
      <alignment horizontal="left"/>
    </xf>
    <xf numFmtId="0" fontId="16" fillId="36" borderId="0" xfId="0" applyFont="1" applyFill="1"/>
    <xf numFmtId="0" fontId="17" fillId="36" borderId="0" xfId="0" applyFont="1" applyFill="1"/>
    <xf numFmtId="0" fontId="16" fillId="37" borderId="0" xfId="0" applyFont="1" applyFill="1" applyAlignment="1">
      <alignment horizontal="center"/>
    </xf>
    <xf numFmtId="0" fontId="16" fillId="37" borderId="0" xfId="0" applyFont="1" applyFill="1"/>
    <xf numFmtId="0" fontId="0" fillId="18" borderId="11" xfId="0" applyFill="1" applyBorder="1"/>
    <xf numFmtId="0" fontId="8" fillId="14" borderId="1" xfId="0" applyFont="1" applyFill="1" applyBorder="1"/>
    <xf numFmtId="0" fontId="11" fillId="14" borderId="1" xfId="0" applyFont="1" applyFill="1" applyBorder="1"/>
    <xf numFmtId="0" fontId="19" fillId="2" borderId="14" xfId="0" applyFont="1" applyFill="1" applyBorder="1" applyAlignment="1">
      <alignment horizontal="left"/>
    </xf>
    <xf numFmtId="0" fontId="19" fillId="25" borderId="10" xfId="0" applyFont="1" applyFill="1" applyBorder="1"/>
    <xf numFmtId="0" fontId="19" fillId="25" borderId="13" xfId="0" applyFont="1" applyFill="1" applyBorder="1"/>
    <xf numFmtId="0" fontId="20" fillId="25" borderId="0" xfId="0" applyFont="1" applyFill="1" applyAlignment="1">
      <alignment horizontal="center"/>
    </xf>
    <xf numFmtId="0" fontId="19" fillId="24" borderId="18" xfId="0" applyFont="1" applyFill="1" applyBorder="1" applyAlignment="1">
      <alignment horizontal="left"/>
    </xf>
    <xf numFmtId="0" fontId="22" fillId="24" borderId="19" xfId="0" applyFont="1" applyFill="1" applyBorder="1"/>
    <xf numFmtId="0" fontId="19" fillId="20" borderId="10" xfId="0" applyFont="1" applyFill="1" applyBorder="1"/>
    <xf numFmtId="0" fontId="23" fillId="20" borderId="17" xfId="0" applyFont="1" applyFill="1" applyBorder="1"/>
    <xf numFmtId="0" fontId="24" fillId="13" borderId="13" xfId="0" applyFont="1" applyFill="1" applyBorder="1"/>
    <xf numFmtId="0" fontId="0" fillId="14" borderId="0" xfId="0" applyFill="1" applyAlignment="1">
      <alignment horizontal="center"/>
    </xf>
    <xf numFmtId="0" fontId="19" fillId="34" borderId="19" xfId="0" applyFont="1" applyFill="1" applyBorder="1" applyAlignment="1">
      <alignment horizontal="left"/>
    </xf>
    <xf numFmtId="0" fontId="19" fillId="2" borderId="12" xfId="0" applyFont="1" applyFill="1" applyBorder="1"/>
    <xf numFmtId="0" fontId="19" fillId="2" borderId="13" xfId="0" applyFont="1" applyFill="1" applyBorder="1"/>
    <xf numFmtId="0" fontId="19" fillId="20" borderId="14" xfId="0" applyFont="1" applyFill="1" applyBorder="1"/>
    <xf numFmtId="0" fontId="21" fillId="20" borderId="16" xfId="0" applyFont="1" applyFill="1" applyBorder="1"/>
    <xf numFmtId="0" fontId="0" fillId="36" borderId="0" xfId="0" applyFill="1"/>
    <xf numFmtId="0" fontId="15" fillId="36" borderId="0" xfId="0" applyFont="1" applyFill="1"/>
    <xf numFmtId="0" fontId="17" fillId="15" borderId="10" xfId="0" applyFont="1" applyFill="1" applyBorder="1"/>
    <xf numFmtId="0" fontId="16" fillId="15" borderId="9" xfId="0" applyFont="1" applyFill="1" applyBorder="1"/>
    <xf numFmtId="0" fontId="2" fillId="19" borderId="14" xfId="0" applyFont="1" applyFill="1" applyBorder="1"/>
    <xf numFmtId="0" fontId="2" fillId="19" borderId="0" xfId="0" applyFont="1" applyFill="1" applyAlignment="1">
      <alignment horizontal="right"/>
    </xf>
    <xf numFmtId="0" fontId="2" fillId="19" borderId="0" xfId="0" applyFont="1" applyFill="1"/>
    <xf numFmtId="0" fontId="6" fillId="19" borderId="16" xfId="0" applyFont="1" applyFill="1" applyBorder="1"/>
    <xf numFmtId="0" fontId="8" fillId="19" borderId="16" xfId="0" applyFont="1" applyFill="1" applyBorder="1"/>
    <xf numFmtId="0" fontId="2" fillId="19" borderId="14" xfId="0" applyFont="1" applyFill="1" applyBorder="1" applyAlignment="1">
      <alignment horizontal="right"/>
    </xf>
    <xf numFmtId="0" fontId="2" fillId="5" borderId="0" xfId="0" applyFont="1" applyFill="1"/>
    <xf numFmtId="0" fontId="6" fillId="7" borderId="0" xfId="0" applyFont="1" applyFill="1"/>
    <xf numFmtId="0" fontId="0" fillId="19" borderId="8" xfId="0" applyFill="1" applyBorder="1"/>
    <xf numFmtId="0" fontId="2" fillId="5" borderId="10" xfId="0" applyFont="1" applyFill="1" applyBorder="1"/>
    <xf numFmtId="0" fontId="2" fillId="5" borderId="9" xfId="0" applyFont="1" applyFill="1" applyBorder="1" applyAlignment="1">
      <alignment horizontal="right"/>
    </xf>
    <xf numFmtId="0" fontId="2" fillId="5" borderId="12" xfId="0" applyFont="1" applyFill="1" applyBorder="1"/>
    <xf numFmtId="0" fontId="2" fillId="5" borderId="13" xfId="0" applyFont="1" applyFill="1" applyBorder="1"/>
    <xf numFmtId="0" fontId="2" fillId="5" borderId="12" xfId="0" applyFont="1" applyFill="1" applyBorder="1" applyAlignment="1">
      <alignment horizontal="right"/>
    </xf>
    <xf numFmtId="0" fontId="1" fillId="4" borderId="9" xfId="0" applyFont="1" applyFill="1" applyBorder="1"/>
    <xf numFmtId="0" fontId="2" fillId="5" borderId="0" xfId="0" applyFont="1" applyFill="1" applyAlignment="1">
      <alignment horizontal="right"/>
    </xf>
    <xf numFmtId="0" fontId="2" fillId="9" borderId="0" xfId="0" applyFont="1" applyFill="1"/>
    <xf numFmtId="0" fontId="2" fillId="11" borderId="0" xfId="0" applyFont="1" applyFill="1" applyAlignment="1">
      <alignment horizontal="right"/>
    </xf>
    <xf numFmtId="0" fontId="2" fillId="11" borderId="0" xfId="0" applyFont="1" applyFill="1"/>
    <xf numFmtId="0" fontId="2" fillId="32" borderId="13" xfId="0" applyFont="1" applyFill="1" applyBorder="1"/>
    <xf numFmtId="0" fontId="6" fillId="32" borderId="13" xfId="0" applyFont="1" applyFill="1" applyBorder="1"/>
    <xf numFmtId="0" fontId="0" fillId="32" borderId="22" xfId="0" applyFill="1" applyBorder="1"/>
    <xf numFmtId="0" fontId="6" fillId="32" borderId="0" xfId="0" applyFont="1" applyFill="1"/>
    <xf numFmtId="0" fontId="2" fillId="2" borderId="17" xfId="0" applyFont="1" applyFill="1" applyBorder="1"/>
    <xf numFmtId="0" fontId="2" fillId="2" borderId="1" xfId="0" applyFont="1" applyFill="1" applyBorder="1"/>
    <xf numFmtId="0" fontId="6" fillId="25" borderId="1" xfId="0" applyFont="1" applyFill="1" applyBorder="1"/>
    <xf numFmtId="0" fontId="2" fillId="25" borderId="1" xfId="0" applyFont="1" applyFill="1" applyBorder="1"/>
    <xf numFmtId="0" fontId="2" fillId="39" borderId="9" xfId="0" applyFont="1" applyFill="1" applyBorder="1" applyAlignment="1">
      <alignment horizontal="right"/>
    </xf>
    <xf numFmtId="0" fontId="2" fillId="39" borderId="10" xfId="0" applyFont="1" applyFill="1" applyBorder="1"/>
    <xf numFmtId="0" fontId="6" fillId="39" borderId="10" xfId="0" applyFont="1" applyFill="1" applyBorder="1"/>
    <xf numFmtId="0" fontId="0" fillId="39" borderId="11" xfId="0" applyFill="1" applyBorder="1"/>
    <xf numFmtId="0" fontId="6" fillId="39" borderId="17" xfId="0" applyFont="1" applyFill="1" applyBorder="1"/>
    <xf numFmtId="0" fontId="8" fillId="39" borderId="17" xfId="0" applyFont="1" applyFill="1" applyBorder="1"/>
    <xf numFmtId="0" fontId="2" fillId="39" borderId="18" xfId="0" applyFont="1" applyFill="1" applyBorder="1" applyAlignment="1">
      <alignment horizontal="right"/>
    </xf>
    <xf numFmtId="0" fontId="2" fillId="39" borderId="19" xfId="0" applyFont="1" applyFill="1" applyBorder="1"/>
    <xf numFmtId="0" fontId="16" fillId="32" borderId="12" xfId="0" applyFont="1" applyFill="1" applyBorder="1"/>
    <xf numFmtId="0" fontId="2" fillId="2" borderId="0" xfId="0" applyFont="1" applyFill="1"/>
    <xf numFmtId="0" fontId="2" fillId="2" borderId="12" xfId="0" applyFont="1" applyFill="1" applyBorder="1" applyAlignment="1">
      <alignment horizontal="right"/>
    </xf>
    <xf numFmtId="0" fontId="2" fillId="2" borderId="13" xfId="0" applyFont="1" applyFill="1" applyBorder="1"/>
    <xf numFmtId="0" fontId="2" fillId="2" borderId="14" xfId="0" applyFont="1" applyFill="1" applyBorder="1" applyAlignment="1">
      <alignment horizontal="right"/>
    </xf>
    <xf numFmtId="0" fontId="9" fillId="18" borderId="30" xfId="0" applyFont="1" applyFill="1" applyBorder="1"/>
    <xf numFmtId="0" fontId="2" fillId="18" borderId="12" xfId="0" applyFont="1" applyFill="1" applyBorder="1" applyAlignment="1">
      <alignment horizontal="right"/>
    </xf>
    <xf numFmtId="0" fontId="2" fillId="18" borderId="13" xfId="0" applyFont="1" applyFill="1" applyBorder="1"/>
    <xf numFmtId="0" fontId="9" fillId="18" borderId="13" xfId="0" applyFont="1" applyFill="1" applyBorder="1"/>
    <xf numFmtId="0" fontId="9" fillId="18" borderId="28" xfId="0" applyFont="1" applyFill="1" applyBorder="1"/>
    <xf numFmtId="0" fontId="8" fillId="18" borderId="13" xfId="0" applyFont="1" applyFill="1" applyBorder="1"/>
    <xf numFmtId="0" fontId="6" fillId="6" borderId="29" xfId="0" applyFont="1" applyFill="1" applyBorder="1"/>
    <xf numFmtId="0" fontId="6" fillId="18" borderId="13" xfId="0" applyFont="1" applyFill="1" applyBorder="1"/>
    <xf numFmtId="0" fontId="0" fillId="18" borderId="7" xfId="0" applyFill="1" applyBorder="1"/>
    <xf numFmtId="0" fontId="6" fillId="18" borderId="22" xfId="0" applyFont="1" applyFill="1" applyBorder="1"/>
    <xf numFmtId="0" fontId="6" fillId="18" borderId="17" xfId="0" applyFont="1" applyFill="1" applyBorder="1"/>
    <xf numFmtId="0" fontId="7" fillId="18" borderId="13" xfId="0" applyFont="1" applyFill="1" applyBorder="1"/>
    <xf numFmtId="0" fontId="6" fillId="18" borderId="23" xfId="0" applyFont="1" applyFill="1" applyBorder="1"/>
    <xf numFmtId="0" fontId="2" fillId="25" borderId="12" xfId="0" applyFont="1" applyFill="1" applyBorder="1"/>
    <xf numFmtId="0" fontId="2" fillId="25" borderId="13" xfId="0" applyFont="1" applyFill="1" applyBorder="1" applyAlignment="1">
      <alignment horizontal="right"/>
    </xf>
    <xf numFmtId="0" fontId="2" fillId="25" borderId="13" xfId="0" applyFont="1" applyFill="1" applyBorder="1"/>
    <xf numFmtId="0" fontId="2" fillId="25" borderId="14" xfId="0" applyFont="1" applyFill="1" applyBorder="1"/>
    <xf numFmtId="0" fontId="2" fillId="25" borderId="0" xfId="0" applyFont="1" applyFill="1" applyAlignment="1">
      <alignment horizontal="right"/>
    </xf>
    <xf numFmtId="0" fontId="2" fillId="25" borderId="0" xfId="0" applyFont="1" applyFill="1"/>
    <xf numFmtId="0" fontId="2" fillId="25" borderId="18" xfId="0" applyFont="1" applyFill="1" applyBorder="1"/>
    <xf numFmtId="0" fontId="2" fillId="25" borderId="19" xfId="0" applyFont="1" applyFill="1" applyBorder="1" applyAlignment="1">
      <alignment horizontal="right"/>
    </xf>
    <xf numFmtId="0" fontId="2" fillId="25" borderId="19" xfId="0" applyFont="1" applyFill="1" applyBorder="1"/>
    <xf numFmtId="0" fontId="2" fillId="25" borderId="12" xfId="0" applyFont="1" applyFill="1" applyBorder="1" applyAlignment="1">
      <alignment horizontal="right"/>
    </xf>
    <xf numFmtId="0" fontId="2" fillId="25" borderId="14" xfId="0" applyFont="1" applyFill="1" applyBorder="1" applyAlignment="1">
      <alignment horizontal="right"/>
    </xf>
    <xf numFmtId="0" fontId="12" fillId="25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0" fillId="25" borderId="7" xfId="0" applyFill="1" applyBorder="1"/>
    <xf numFmtId="0" fontId="0" fillId="25" borderId="8" xfId="0" applyFill="1" applyBorder="1"/>
    <xf numFmtId="0" fontId="0" fillId="25" borderId="15" xfId="0" applyFill="1" applyBorder="1"/>
    <xf numFmtId="0" fontId="12" fillId="25" borderId="0" xfId="0" applyFont="1" applyFill="1"/>
    <xf numFmtId="0" fontId="0" fillId="18" borderId="12" xfId="0" applyFill="1" applyBorder="1"/>
    <xf numFmtId="0" fontId="2" fillId="2" borderId="11" xfId="0" applyFont="1" applyFill="1" applyBorder="1"/>
    <xf numFmtId="0" fontId="4" fillId="2" borderId="12" xfId="0" applyFont="1" applyFill="1" applyBorder="1"/>
    <xf numFmtId="0" fontId="8" fillId="18" borderId="7" xfId="0" applyFont="1" applyFill="1" applyBorder="1"/>
    <xf numFmtId="0" fontId="2" fillId="7" borderId="12" xfId="0" applyFont="1" applyFill="1" applyBorder="1" applyAlignment="1">
      <alignment horizontal="right"/>
    </xf>
    <xf numFmtId="0" fontId="2" fillId="7" borderId="13" xfId="0" applyFont="1" applyFill="1" applyBorder="1"/>
    <xf numFmtId="0" fontId="0" fillId="7" borderId="13" xfId="0" applyFill="1" applyBorder="1"/>
    <xf numFmtId="0" fontId="2" fillId="7" borderId="14" xfId="0" applyFont="1" applyFill="1" applyBorder="1" applyAlignment="1">
      <alignment horizontal="right"/>
    </xf>
    <xf numFmtId="0" fontId="2" fillId="7" borderId="0" xfId="0" applyFont="1" applyFill="1"/>
    <xf numFmtId="0" fontId="0" fillId="7" borderId="0" xfId="0" applyFill="1"/>
    <xf numFmtId="0" fontId="2" fillId="7" borderId="18" xfId="0" applyFont="1" applyFill="1" applyBorder="1" applyAlignment="1">
      <alignment horizontal="right"/>
    </xf>
    <xf numFmtId="0" fontId="2" fillId="7" borderId="19" xfId="0" applyFont="1" applyFill="1" applyBorder="1"/>
    <xf numFmtId="0" fontId="0" fillId="7" borderId="19" xfId="0" applyFill="1" applyBorder="1"/>
    <xf numFmtId="0" fontId="0" fillId="6" borderId="13" xfId="0" applyFill="1" applyBorder="1"/>
    <xf numFmtId="0" fontId="2" fillId="6" borderId="13" xfId="0" applyFont="1" applyFill="1" applyBorder="1"/>
    <xf numFmtId="0" fontId="6" fillId="6" borderId="22" xfId="0" applyFont="1" applyFill="1" applyBorder="1"/>
    <xf numFmtId="0" fontId="0" fillId="40" borderId="19" xfId="0" applyFill="1" applyBorder="1"/>
    <xf numFmtId="0" fontId="2" fillId="40" borderId="19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15" xfId="0" applyFill="1" applyBorder="1"/>
    <xf numFmtId="0" fontId="6" fillId="7" borderId="13" xfId="0" applyFont="1" applyFill="1" applyBorder="1"/>
    <xf numFmtId="0" fontId="7" fillId="7" borderId="0" xfId="0" applyFont="1" applyFill="1"/>
    <xf numFmtId="0" fontId="6" fillId="7" borderId="19" xfId="0" applyFont="1" applyFill="1" applyBorder="1"/>
    <xf numFmtId="0" fontId="0" fillId="6" borderId="0" xfId="0" applyFill="1"/>
    <xf numFmtId="0" fontId="25" fillId="40" borderId="19" xfId="0" applyFont="1" applyFill="1" applyBorder="1"/>
    <xf numFmtId="0" fontId="18" fillId="15" borderId="10" xfId="0" applyFont="1" applyFill="1" applyBorder="1"/>
    <xf numFmtId="0" fontId="6" fillId="39" borderId="19" xfId="0" applyFont="1" applyFill="1" applyBorder="1"/>
    <xf numFmtId="0" fontId="2" fillId="5" borderId="22" xfId="0" applyFont="1" applyFill="1" applyBorder="1"/>
    <xf numFmtId="0" fontId="2" fillId="5" borderId="14" xfId="0" applyFont="1" applyFill="1" applyBorder="1" applyAlignment="1">
      <alignment horizontal="right"/>
    </xf>
    <xf numFmtId="0" fontId="2" fillId="5" borderId="16" xfId="0" applyFont="1" applyFill="1" applyBorder="1"/>
    <xf numFmtId="0" fontId="2" fillId="5" borderId="14" xfId="0" applyFont="1" applyFill="1" applyBorder="1"/>
    <xf numFmtId="0" fontId="2" fillId="5" borderId="18" xfId="0" applyFont="1" applyFill="1" applyBorder="1"/>
    <xf numFmtId="0" fontId="2" fillId="5" borderId="19" xfId="0" applyFont="1" applyFill="1" applyBorder="1" applyAlignment="1">
      <alignment horizontal="right"/>
    </xf>
    <xf numFmtId="0" fontId="2" fillId="5" borderId="19" xfId="0" applyFont="1" applyFill="1" applyBorder="1"/>
    <xf numFmtId="0" fontId="2" fillId="5" borderId="23" xfId="0" applyFont="1" applyFill="1" applyBorder="1"/>
    <xf numFmtId="0" fontId="2" fillId="5" borderId="17" xfId="0" applyFont="1" applyFill="1" applyBorder="1"/>
    <xf numFmtId="0" fontId="1" fillId="4" borderId="12" xfId="0" applyFont="1" applyFill="1" applyBorder="1"/>
    <xf numFmtId="0" fontId="2" fillId="4" borderId="13" xfId="0" applyFont="1" applyFill="1" applyBorder="1"/>
    <xf numFmtId="0" fontId="2" fillId="2" borderId="4" xfId="0" applyFont="1" applyFill="1" applyBorder="1" applyAlignment="1">
      <alignment horizontal="right"/>
    </xf>
    <xf numFmtId="0" fontId="2" fillId="6" borderId="23" xfId="0" applyFont="1" applyFill="1" applyBorder="1"/>
    <xf numFmtId="0" fontId="2" fillId="5" borderId="13" xfId="0" applyFont="1" applyFill="1" applyBorder="1" applyAlignment="1">
      <alignment horizontal="right"/>
    </xf>
    <xf numFmtId="0" fontId="2" fillId="7" borderId="10" xfId="0" applyFont="1" applyFill="1" applyBorder="1"/>
    <xf numFmtId="0" fontId="2" fillId="9" borderId="13" xfId="0" applyFont="1" applyFill="1" applyBorder="1"/>
    <xf numFmtId="0" fontId="2" fillId="8" borderId="22" xfId="0" applyFont="1" applyFill="1" applyBorder="1"/>
    <xf numFmtId="0" fontId="2" fillId="9" borderId="12" xfId="0" applyFont="1" applyFill="1" applyBorder="1" applyAlignment="1">
      <alignment horizontal="right"/>
    </xf>
    <xf numFmtId="0" fontId="2" fillId="9" borderId="22" xfId="0" applyFont="1" applyFill="1" applyBorder="1"/>
    <xf numFmtId="0" fontId="2" fillId="9" borderId="14" xfId="0" applyFont="1" applyFill="1" applyBorder="1" applyAlignment="1">
      <alignment horizontal="right"/>
    </xf>
    <xf numFmtId="0" fontId="2" fillId="9" borderId="16" xfId="0" applyFont="1" applyFill="1" applyBorder="1"/>
    <xf numFmtId="0" fontId="2" fillId="9" borderId="18" xfId="0" applyFont="1" applyFill="1" applyBorder="1" applyAlignment="1">
      <alignment horizontal="right"/>
    </xf>
    <xf numFmtId="0" fontId="2" fillId="9" borderId="19" xfId="0" applyFont="1" applyFill="1" applyBorder="1"/>
    <xf numFmtId="0" fontId="2" fillId="11" borderId="10" xfId="0" applyFont="1" applyFill="1" applyBorder="1"/>
    <xf numFmtId="0" fontId="2" fillId="10" borderId="0" xfId="0" applyFont="1" applyFill="1"/>
    <xf numFmtId="0" fontId="2" fillId="10" borderId="22" xfId="0" applyFont="1" applyFill="1" applyBorder="1"/>
    <xf numFmtId="0" fontId="2" fillId="11" borderId="12" xfId="0" applyFont="1" applyFill="1" applyBorder="1" applyAlignment="1">
      <alignment horizontal="right"/>
    </xf>
    <xf numFmtId="0" fontId="2" fillId="11" borderId="13" xfId="0" applyFont="1" applyFill="1" applyBorder="1"/>
    <xf numFmtId="0" fontId="2" fillId="11" borderId="22" xfId="0" applyFont="1" applyFill="1" applyBorder="1"/>
    <xf numFmtId="0" fontId="2" fillId="11" borderId="14" xfId="0" applyFont="1" applyFill="1" applyBorder="1" applyAlignment="1">
      <alignment horizontal="right"/>
    </xf>
    <xf numFmtId="0" fontId="2" fillId="11" borderId="16" xfId="0" applyFont="1" applyFill="1" applyBorder="1"/>
    <xf numFmtId="0" fontId="2" fillId="11" borderId="14" xfId="0" applyFont="1" applyFill="1" applyBorder="1"/>
    <xf numFmtId="0" fontId="4" fillId="11" borderId="16" xfId="0" applyFont="1" applyFill="1" applyBorder="1"/>
    <xf numFmtId="0" fontId="2" fillId="7" borderId="9" xfId="0" applyFont="1" applyFill="1" applyBorder="1" applyAlignment="1">
      <alignment horizontal="right"/>
    </xf>
    <xf numFmtId="0" fontId="1" fillId="6" borderId="14" xfId="0" applyFont="1" applyFill="1" applyBorder="1"/>
    <xf numFmtId="0" fontId="2" fillId="6" borderId="0" xfId="0" applyFont="1" applyFill="1"/>
    <xf numFmtId="0" fontId="1" fillId="8" borderId="14" xfId="0" applyFont="1" applyFill="1" applyBorder="1"/>
    <xf numFmtId="0" fontId="2" fillId="8" borderId="0" xfId="0" applyFont="1" applyFill="1"/>
    <xf numFmtId="0" fontId="1" fillId="10" borderId="14" xfId="0" applyFont="1" applyFill="1" applyBorder="1"/>
    <xf numFmtId="0" fontId="5" fillId="11" borderId="16" xfId="0" applyFont="1" applyFill="1" applyBorder="1"/>
    <xf numFmtId="0" fontId="16" fillId="36" borderId="12" xfId="0" applyFont="1" applyFill="1" applyBorder="1"/>
    <xf numFmtId="0" fontId="17" fillId="36" borderId="13" xfId="0" applyFont="1" applyFill="1" applyBorder="1"/>
    <xf numFmtId="0" fontId="17" fillId="36" borderId="22" xfId="0" applyFont="1" applyFill="1" applyBorder="1"/>
    <xf numFmtId="0" fontId="8" fillId="14" borderId="12" xfId="0" applyFont="1" applyFill="1" applyBorder="1" applyAlignment="1">
      <alignment horizontal="right"/>
    </xf>
    <xf numFmtId="0" fontId="8" fillId="14" borderId="13" xfId="0" applyFont="1" applyFill="1" applyBorder="1"/>
    <xf numFmtId="0" fontId="8" fillId="14" borderId="22" xfId="0" applyFont="1" applyFill="1" applyBorder="1"/>
    <xf numFmtId="0" fontId="8" fillId="14" borderId="14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2" fillId="5" borderId="15" xfId="0" applyFont="1" applyFill="1" applyBorder="1"/>
    <xf numFmtId="0" fontId="2" fillId="4" borderId="7" xfId="0" applyFont="1" applyFill="1" applyBorder="1"/>
    <xf numFmtId="0" fontId="2" fillId="2" borderId="8" xfId="0" applyFont="1" applyFill="1" applyBorder="1"/>
    <xf numFmtId="0" fontId="2" fillId="2" borderId="15" xfId="0" applyFont="1" applyFill="1" applyBorder="1"/>
    <xf numFmtId="0" fontId="2" fillId="6" borderId="8" xfId="0" applyFont="1" applyFill="1" applyBorder="1"/>
    <xf numFmtId="0" fontId="2" fillId="7" borderId="7" xfId="0" applyFont="1" applyFill="1" applyBorder="1"/>
    <xf numFmtId="0" fontId="2" fillId="8" borderId="7" xfId="0" applyFont="1" applyFill="1" applyBorder="1"/>
    <xf numFmtId="0" fontId="2" fillId="9" borderId="7" xfId="0" applyFont="1" applyFill="1" applyBorder="1"/>
    <xf numFmtId="0" fontId="2" fillId="9" borderId="8" xfId="0" applyFont="1" applyFill="1" applyBorder="1"/>
    <xf numFmtId="0" fontId="2" fillId="10" borderId="7" xfId="0" applyFont="1" applyFill="1" applyBorder="1"/>
    <xf numFmtId="0" fontId="2" fillId="11" borderId="7" xfId="0" applyFont="1" applyFill="1" applyBorder="1"/>
    <xf numFmtId="0" fontId="2" fillId="11" borderId="8" xfId="0" applyFont="1" applyFill="1" applyBorder="1"/>
    <xf numFmtId="0" fontId="17" fillId="36" borderId="7" xfId="0" applyFont="1" applyFill="1" applyBorder="1"/>
    <xf numFmtId="0" fontId="8" fillId="14" borderId="7" xfId="0" applyFont="1" applyFill="1" applyBorder="1"/>
    <xf numFmtId="0" fontId="8" fillId="14" borderId="11" xfId="0" applyFont="1" applyFill="1" applyBorder="1"/>
    <xf numFmtId="0" fontId="2" fillId="16" borderId="8" xfId="0" applyFont="1" applyFill="1" applyBorder="1"/>
    <xf numFmtId="0" fontId="16" fillId="15" borderId="10" xfId="0" applyFont="1" applyFill="1" applyBorder="1"/>
    <xf numFmtId="0" fontId="17" fillId="15" borderId="27" xfId="0" applyFont="1" applyFill="1" applyBorder="1"/>
    <xf numFmtId="0" fontId="17" fillId="15" borderId="7" xfId="0" applyFont="1" applyFill="1" applyBorder="1"/>
    <xf numFmtId="0" fontId="2" fillId="16" borderId="7" xfId="0" applyFont="1" applyFill="1" applyBorder="1"/>
    <xf numFmtId="0" fontId="17" fillId="17" borderId="17" xfId="0" applyFont="1" applyFill="1" applyBorder="1"/>
    <xf numFmtId="0" fontId="2" fillId="33" borderId="1" xfId="0" applyFont="1" applyFill="1" applyBorder="1"/>
    <xf numFmtId="0" fontId="2" fillId="5" borderId="11" xfId="0" applyFont="1" applyFill="1" applyBorder="1"/>
    <xf numFmtId="0" fontId="2" fillId="11" borderId="17" xfId="0" applyFont="1" applyFill="1" applyBorder="1"/>
    <xf numFmtId="0" fontId="2" fillId="11" borderId="9" xfId="0" applyFont="1" applyFill="1" applyBorder="1" applyAlignment="1">
      <alignment horizontal="right"/>
    </xf>
    <xf numFmtId="0" fontId="1" fillId="2" borderId="0" xfId="0" applyFont="1" applyFill="1"/>
    <xf numFmtId="0" fontId="2" fillId="42" borderId="9" xfId="0" applyFont="1" applyFill="1" applyBorder="1" applyAlignment="1">
      <alignment horizontal="right"/>
    </xf>
    <xf numFmtId="0" fontId="2" fillId="42" borderId="10" xfId="0" applyFont="1" applyFill="1" applyBorder="1"/>
    <xf numFmtId="0" fontId="2" fillId="42" borderId="17" xfId="0" applyFont="1" applyFill="1" applyBorder="1"/>
    <xf numFmtId="0" fontId="13" fillId="37" borderId="6" xfId="0" applyFont="1" applyFill="1" applyBorder="1" applyAlignment="1">
      <alignment horizontal="center" wrapText="1"/>
    </xf>
    <xf numFmtId="0" fontId="1" fillId="2" borderId="3" xfId="0" applyFont="1" applyFill="1" applyBorder="1"/>
    <xf numFmtId="0" fontId="0" fillId="9" borderId="3" xfId="0" applyFill="1" applyBorder="1"/>
    <xf numFmtId="0" fontId="1" fillId="10" borderId="3" xfId="0" applyFont="1" applyFill="1" applyBorder="1"/>
    <xf numFmtId="0" fontId="2" fillId="11" borderId="3" xfId="0" applyFont="1" applyFill="1" applyBorder="1"/>
    <xf numFmtId="0" fontId="15" fillId="36" borderId="3" xfId="0" applyFont="1" applyFill="1" applyBorder="1"/>
    <xf numFmtId="0" fontId="0" fillId="14" borderId="3" xfId="0" applyFill="1" applyBorder="1"/>
    <xf numFmtId="0" fontId="0" fillId="14" borderId="6" xfId="0" applyFill="1" applyBorder="1"/>
    <xf numFmtId="0" fontId="0" fillId="16" borderId="5" xfId="0" applyFill="1" applyBorder="1"/>
    <xf numFmtId="0" fontId="0" fillId="16" borderId="3" xfId="0" applyFill="1" applyBorder="1"/>
    <xf numFmtId="0" fontId="0" fillId="33" borderId="3" xfId="0" applyFill="1" applyBorder="1"/>
    <xf numFmtId="0" fontId="16" fillId="17" borderId="0" xfId="0" applyFont="1" applyFill="1"/>
    <xf numFmtId="0" fontId="15" fillId="41" borderId="20" xfId="0" applyFont="1" applyFill="1" applyBorder="1" applyAlignment="1">
      <alignment horizontal="center" vertical="center"/>
    </xf>
    <xf numFmtId="0" fontId="0" fillId="33" borderId="20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0" fontId="0" fillId="43" borderId="20" xfId="0" applyFill="1" applyBorder="1" applyAlignment="1">
      <alignment horizontal="center" vertical="center"/>
    </xf>
    <xf numFmtId="0" fontId="1" fillId="42" borderId="3" xfId="0" applyFont="1" applyFill="1" applyBorder="1"/>
    <xf numFmtId="0" fontId="0" fillId="42" borderId="20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16" fillId="27" borderId="12" xfId="0" applyFont="1" applyFill="1" applyBorder="1"/>
    <xf numFmtId="0" fontId="2" fillId="12" borderId="12" xfId="0" applyFont="1" applyFill="1" applyBorder="1" applyAlignment="1">
      <alignment horizontal="right"/>
    </xf>
    <xf numFmtId="0" fontId="2" fillId="12" borderId="13" xfId="0" applyFont="1" applyFill="1" applyBorder="1"/>
    <xf numFmtId="0" fontId="2" fillId="12" borderId="7" xfId="0" applyFont="1" applyFill="1" applyBorder="1"/>
    <xf numFmtId="0" fontId="2" fillId="12" borderId="22" xfId="0" applyFont="1" applyFill="1" applyBorder="1"/>
    <xf numFmtId="0" fontId="0" fillId="12" borderId="3" xfId="0" applyFill="1" applyBorder="1"/>
    <xf numFmtId="0" fontId="0" fillId="12" borderId="20" xfId="0" applyFill="1" applyBorder="1" applyAlignment="1">
      <alignment horizontal="center" vertical="center"/>
    </xf>
    <xf numFmtId="0" fontId="2" fillId="12" borderId="14" xfId="0" applyFont="1" applyFill="1" applyBorder="1" applyAlignment="1">
      <alignment horizontal="right"/>
    </xf>
    <xf numFmtId="0" fontId="2" fillId="12" borderId="0" xfId="0" applyFont="1" applyFill="1"/>
    <xf numFmtId="0" fontId="2" fillId="12" borderId="8" xfId="0" applyFont="1" applyFill="1" applyBorder="1"/>
    <xf numFmtId="0" fontId="2" fillId="12" borderId="16" xfId="0" applyFont="1" applyFill="1" applyBorder="1"/>
    <xf numFmtId="0" fontId="18" fillId="36" borderId="20" xfId="0" applyFont="1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/>
    </xf>
    <xf numFmtId="0" fontId="18" fillId="15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18" fillId="17" borderId="20" xfId="0" applyFont="1" applyFill="1" applyBorder="1" applyAlignment="1">
      <alignment horizontal="center" vertical="center"/>
    </xf>
    <xf numFmtId="0" fontId="17" fillId="27" borderId="13" xfId="0" applyFont="1" applyFill="1" applyBorder="1"/>
    <xf numFmtId="0" fontId="17" fillId="27" borderId="22" xfId="0" applyFont="1" applyFill="1" applyBorder="1"/>
    <xf numFmtId="0" fontId="15" fillId="27" borderId="3" xfId="0" applyFont="1" applyFill="1" applyBorder="1"/>
    <xf numFmtId="0" fontId="18" fillId="27" borderId="20" xfId="0" applyFont="1" applyFill="1" applyBorder="1" applyAlignment="1">
      <alignment horizontal="center" vertical="center"/>
    </xf>
    <xf numFmtId="0" fontId="0" fillId="39" borderId="20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10" fillId="39" borderId="10" xfId="0" applyFont="1" applyFill="1" applyBorder="1"/>
    <xf numFmtId="0" fontId="6" fillId="18" borderId="3" xfId="0" applyFont="1" applyFill="1" applyBorder="1"/>
    <xf numFmtId="0" fontId="10" fillId="32" borderId="2" xfId="0" applyFont="1" applyFill="1" applyBorder="1"/>
    <xf numFmtId="0" fontId="8" fillId="18" borderId="3" xfId="0" applyFont="1" applyFill="1" applyBorder="1"/>
    <xf numFmtId="0" fontId="8" fillId="25" borderId="3" xfId="0" applyFont="1" applyFill="1" applyBorder="1"/>
    <xf numFmtId="0" fontId="8" fillId="25" borderId="6" xfId="0" applyFont="1" applyFill="1" applyBorder="1"/>
    <xf numFmtId="0" fontId="6" fillId="25" borderId="0" xfId="0" applyFont="1" applyFill="1"/>
    <xf numFmtId="0" fontId="6" fillId="25" borderId="6" xfId="0" applyFont="1" applyFill="1" applyBorder="1"/>
    <xf numFmtId="0" fontId="6" fillId="18" borderId="6" xfId="0" applyFont="1" applyFill="1" applyBorder="1"/>
    <xf numFmtId="0" fontId="6" fillId="7" borderId="6" xfId="0" applyFont="1" applyFill="1" applyBorder="1"/>
    <xf numFmtId="0" fontId="0" fillId="18" borderId="20" xfId="0" applyFill="1" applyBorder="1" applyAlignment="1">
      <alignment horizontal="center" vertical="center"/>
    </xf>
    <xf numFmtId="0" fontId="0" fillId="44" borderId="2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33" borderId="22" xfId="0" applyFont="1" applyFill="1" applyBorder="1"/>
    <xf numFmtId="0" fontId="1" fillId="33" borderId="12" xfId="0" applyFont="1" applyFill="1" applyBorder="1"/>
    <xf numFmtId="0" fontId="2" fillId="33" borderId="13" xfId="0" applyFont="1" applyFill="1" applyBorder="1"/>
    <xf numFmtId="0" fontId="0" fillId="33" borderId="13" xfId="0" applyFill="1" applyBorder="1"/>
    <xf numFmtId="0" fontId="16" fillId="17" borderId="12" xfId="0" applyFont="1" applyFill="1" applyBorder="1"/>
    <xf numFmtId="0" fontId="2" fillId="17" borderId="13" xfId="0" applyFont="1" applyFill="1" applyBorder="1"/>
    <xf numFmtId="0" fontId="0" fillId="17" borderId="13" xfId="0" applyFill="1" applyBorder="1"/>
    <xf numFmtId="0" fontId="17" fillId="17" borderId="22" xfId="0" applyFont="1" applyFill="1" applyBorder="1"/>
    <xf numFmtId="0" fontId="2" fillId="11" borderId="15" xfId="0" applyFont="1" applyFill="1" applyBorder="1"/>
    <xf numFmtId="0" fontId="2" fillId="42" borderId="7" xfId="0" applyFont="1" applyFill="1" applyBorder="1"/>
    <xf numFmtId="0" fontId="17" fillId="27" borderId="8" xfId="0" applyFont="1" applyFill="1" applyBorder="1"/>
    <xf numFmtId="0" fontId="2" fillId="11" borderId="10" xfId="0" applyFont="1" applyFill="1" applyBorder="1" applyAlignment="1">
      <alignment horizontal="right"/>
    </xf>
    <xf numFmtId="0" fontId="2" fillId="11" borderId="11" xfId="0" applyFont="1" applyFill="1" applyBorder="1"/>
    <xf numFmtId="0" fontId="1" fillId="11" borderId="17" xfId="0" applyFont="1" applyFill="1" applyBorder="1"/>
    <xf numFmtId="0" fontId="0" fillId="11" borderId="21" xfId="0" applyFill="1" applyBorder="1" applyAlignment="1">
      <alignment horizontal="center" vertical="center"/>
    </xf>
    <xf numFmtId="0" fontId="2" fillId="11" borderId="5" xfId="0" applyFont="1" applyFill="1" applyBorder="1"/>
    <xf numFmtId="0" fontId="0" fillId="36" borderId="20" xfId="0" applyFill="1" applyBorder="1" applyAlignment="1">
      <alignment horizontal="center" vertical="center"/>
    </xf>
    <xf numFmtId="0" fontId="0" fillId="33" borderId="5" xfId="0" applyFill="1" applyBorder="1"/>
    <xf numFmtId="0" fontId="19" fillId="34" borderId="10" xfId="0" applyFont="1" applyFill="1" applyBorder="1"/>
    <xf numFmtId="0" fontId="4" fillId="45" borderId="20" xfId="0" applyFont="1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2" fillId="40" borderId="11" xfId="0" applyFont="1" applyFill="1" applyBorder="1"/>
    <xf numFmtId="0" fontId="6" fillId="40" borderId="10" xfId="0" applyFont="1" applyFill="1" applyBorder="1"/>
    <xf numFmtId="0" fontId="20" fillId="25" borderId="23" xfId="0" applyFont="1" applyFill="1" applyBorder="1"/>
    <xf numFmtId="0" fontId="19" fillId="12" borderId="9" xfId="0" applyFont="1" applyFill="1" applyBorder="1" applyAlignment="1">
      <alignment horizontal="left"/>
    </xf>
    <xf numFmtId="0" fontId="0" fillId="26" borderId="14" xfId="0" applyFill="1" applyBorder="1" applyAlignment="1">
      <alignment horizontal="left"/>
    </xf>
    <xf numFmtId="0" fontId="1" fillId="0" borderId="9" xfId="0" applyFont="1" applyBorder="1"/>
    <xf numFmtId="0" fontId="2" fillId="0" borderId="10" xfId="0" applyFont="1" applyBorder="1" applyAlignment="1">
      <alignment horizontal="right"/>
    </xf>
    <xf numFmtId="0" fontId="2" fillId="0" borderId="10" xfId="0" applyFont="1" applyBorder="1"/>
    <xf numFmtId="0" fontId="0" fillId="0" borderId="31" xfId="0" applyBorder="1" applyAlignment="1">
      <alignment horizontal="center" vertical="center"/>
    </xf>
    <xf numFmtId="0" fontId="2" fillId="33" borderId="12" xfId="0" applyFont="1" applyFill="1" applyBorder="1" applyAlignment="1">
      <alignment horizontal="right"/>
    </xf>
    <xf numFmtId="0" fontId="2" fillId="33" borderId="16" xfId="0" applyFont="1" applyFill="1" applyBorder="1"/>
    <xf numFmtId="0" fontId="2" fillId="33" borderId="0" xfId="0" applyFont="1" applyFill="1"/>
    <xf numFmtId="0" fontId="0" fillId="33" borderId="12" xfId="0" applyFill="1" applyBorder="1"/>
    <xf numFmtId="0" fontId="0" fillId="33" borderId="26" xfId="0" applyFill="1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1" fillId="28" borderId="12" xfId="0" applyFont="1" applyFill="1" applyBorder="1" applyAlignment="1">
      <alignment horizontal="left"/>
    </xf>
    <xf numFmtId="0" fontId="2" fillId="28" borderId="13" xfId="0" applyFont="1" applyFill="1" applyBorder="1"/>
    <xf numFmtId="0" fontId="0" fillId="28" borderId="13" xfId="0" applyFill="1" applyBorder="1"/>
    <xf numFmtId="0" fontId="0" fillId="25" borderId="13" xfId="0" applyFill="1" applyBorder="1"/>
    <xf numFmtId="0" fontId="2" fillId="25" borderId="22" xfId="0" applyFont="1" applyFill="1" applyBorder="1"/>
    <xf numFmtId="0" fontId="2" fillId="34" borderId="13" xfId="0" applyFont="1" applyFill="1" applyBorder="1"/>
    <xf numFmtId="0" fontId="8" fillId="14" borderId="0" xfId="0" applyFont="1" applyFill="1" applyAlignment="1">
      <alignment horizontal="right"/>
    </xf>
    <xf numFmtId="0" fontId="8" fillId="14" borderId="0" xfId="0" applyFont="1" applyFill="1"/>
    <xf numFmtId="0" fontId="8" fillId="14" borderId="16" xfId="0" applyFont="1" applyFill="1" applyBorder="1"/>
    <xf numFmtId="0" fontId="2" fillId="14" borderId="16" xfId="0" applyFont="1" applyFill="1" applyBorder="1"/>
    <xf numFmtId="0" fontId="16" fillId="15" borderId="18" xfId="0" applyFont="1" applyFill="1" applyBorder="1"/>
    <xf numFmtId="0" fontId="16" fillId="15" borderId="19" xfId="0" applyFont="1" applyFill="1" applyBorder="1"/>
    <xf numFmtId="0" fontId="17" fillId="15" borderId="19" xfId="0" applyFont="1" applyFill="1" applyBorder="1"/>
    <xf numFmtId="0" fontId="8" fillId="14" borderId="10" xfId="0" applyFont="1" applyFill="1" applyBorder="1"/>
    <xf numFmtId="0" fontId="2" fillId="34" borderId="10" xfId="0" applyFont="1" applyFill="1" applyBorder="1"/>
    <xf numFmtId="0" fontId="1" fillId="34" borderId="13" xfId="0" applyFont="1" applyFill="1" applyBorder="1"/>
    <xf numFmtId="0" fontId="2" fillId="34" borderId="22" xfId="0" applyFont="1" applyFill="1" applyBorder="1"/>
    <xf numFmtId="0" fontId="0" fillId="14" borderId="9" xfId="0" applyFill="1" applyBorder="1"/>
    <xf numFmtId="0" fontId="2" fillId="14" borderId="10" xfId="0" applyFont="1" applyFill="1" applyBorder="1" applyAlignment="1">
      <alignment horizontal="right"/>
    </xf>
    <xf numFmtId="0" fontId="2" fillId="14" borderId="10" xfId="0" applyFont="1" applyFill="1" applyBorder="1"/>
    <xf numFmtId="0" fontId="2" fillId="14" borderId="17" xfId="0" applyFont="1" applyFill="1" applyBorder="1"/>
    <xf numFmtId="0" fontId="2" fillId="34" borderId="11" xfId="0" applyFont="1" applyFill="1" applyBorder="1"/>
    <xf numFmtId="0" fontId="26" fillId="34" borderId="6" xfId="0" applyFont="1" applyFill="1" applyBorder="1"/>
    <xf numFmtId="0" fontId="0" fillId="34" borderId="20" xfId="0" applyFill="1" applyBorder="1" applyAlignment="1">
      <alignment horizontal="center" vertical="center"/>
    </xf>
    <xf numFmtId="0" fontId="2" fillId="14" borderId="0" xfId="0" applyFont="1" applyFill="1"/>
    <xf numFmtId="0" fontId="0" fillId="14" borderId="11" xfId="0" applyFill="1" applyBorder="1"/>
    <xf numFmtId="0" fontId="0" fillId="34" borderId="12" xfId="0" applyFill="1" applyBorder="1" applyAlignment="1">
      <alignment horizontal="right"/>
    </xf>
    <xf numFmtId="0" fontId="2" fillId="5" borderId="9" xfId="0" applyFont="1" applyFill="1" applyBorder="1"/>
    <xf numFmtId="0" fontId="0" fillId="5" borderId="7" xfId="0" applyFill="1" applyBorder="1"/>
    <xf numFmtId="0" fontId="0" fillId="5" borderId="21" xfId="0" applyFill="1" applyBorder="1" applyAlignment="1">
      <alignment horizontal="center" vertical="center"/>
    </xf>
    <xf numFmtId="0" fontId="0" fillId="25" borderId="21" xfId="0" applyFill="1" applyBorder="1" applyAlignment="1">
      <alignment horizontal="center" vertical="center"/>
    </xf>
    <xf numFmtId="0" fontId="2" fillId="25" borderId="11" xfId="0" applyFont="1" applyFill="1" applyBorder="1"/>
    <xf numFmtId="0" fontId="0" fillId="25" borderId="17" xfId="0" applyFill="1" applyBorder="1"/>
    <xf numFmtId="0" fontId="2" fillId="33" borderId="23" xfId="0" applyFont="1" applyFill="1" applyBorder="1"/>
    <xf numFmtId="0" fontId="2" fillId="46" borderId="3" xfId="0" applyFont="1" applyFill="1" applyBorder="1"/>
    <xf numFmtId="0" fontId="5" fillId="22" borderId="0" xfId="0" applyFont="1" applyFill="1" applyAlignment="1">
      <alignment horizontal="right"/>
    </xf>
    <xf numFmtId="0" fontId="5" fillId="22" borderId="0" xfId="0" applyFont="1" applyFill="1"/>
    <xf numFmtId="0" fontId="11" fillId="22" borderId="0" xfId="0" applyFont="1" applyFill="1"/>
    <xf numFmtId="0" fontId="11" fillId="22" borderId="0" xfId="0" applyFont="1" applyFill="1" applyAlignment="1">
      <alignment horizontal="right"/>
    </xf>
    <xf numFmtId="0" fontId="5" fillId="22" borderId="14" xfId="0" applyFont="1" applyFill="1" applyBorder="1" applyAlignment="1">
      <alignment horizontal="right"/>
    </xf>
    <xf numFmtId="0" fontId="11" fillId="22" borderId="16" xfId="0" applyFont="1" applyFill="1" applyBorder="1"/>
    <xf numFmtId="0" fontId="11" fillId="22" borderId="14" xfId="0" applyFont="1" applyFill="1" applyBorder="1"/>
    <xf numFmtId="0" fontId="11" fillId="22" borderId="18" xfId="0" applyFont="1" applyFill="1" applyBorder="1"/>
    <xf numFmtId="0" fontId="11" fillId="22" borderId="19" xfId="0" applyFont="1" applyFill="1" applyBorder="1"/>
    <xf numFmtId="0" fontId="5" fillId="22" borderId="19" xfId="0" applyFont="1" applyFill="1" applyBorder="1" applyAlignment="1">
      <alignment horizontal="right"/>
    </xf>
    <xf numFmtId="0" fontId="11" fillId="0" borderId="20" xfId="0" applyFont="1" applyBorder="1"/>
    <xf numFmtId="0" fontId="5" fillId="0" borderId="20" xfId="0" applyFont="1" applyBorder="1"/>
    <xf numFmtId="0" fontId="3" fillId="0" borderId="13" xfId="0" applyFont="1" applyBorder="1"/>
    <xf numFmtId="0" fontId="3" fillId="0" borderId="22" xfId="0" applyFont="1" applyBorder="1"/>
    <xf numFmtId="0" fontId="11" fillId="33" borderId="0" xfId="0" applyFont="1" applyFill="1"/>
    <xf numFmtId="0" fontId="5" fillId="33" borderId="0" xfId="0" applyFont="1" applyFill="1" applyAlignment="1">
      <alignment horizontal="right"/>
    </xf>
    <xf numFmtId="0" fontId="3" fillId="0" borderId="20" xfId="0" applyFont="1" applyBorder="1"/>
    <xf numFmtId="0" fontId="11" fillId="22" borderId="12" xfId="0" applyFont="1" applyFill="1" applyBorder="1"/>
    <xf numFmtId="0" fontId="11" fillId="22" borderId="13" xfId="0" applyFont="1" applyFill="1" applyBorder="1"/>
    <xf numFmtId="0" fontId="5" fillId="22" borderId="13" xfId="0" applyFont="1" applyFill="1" applyBorder="1"/>
    <xf numFmtId="0" fontId="11" fillId="22" borderId="22" xfId="0" applyFont="1" applyFill="1" applyBorder="1"/>
    <xf numFmtId="0" fontId="5" fillId="22" borderId="16" xfId="0" applyFont="1" applyFill="1" applyBorder="1"/>
    <xf numFmtId="0" fontId="5" fillId="22" borderId="19" xfId="0" applyFont="1" applyFill="1" applyBorder="1"/>
    <xf numFmtId="0" fontId="5" fillId="22" borderId="23" xfId="0" applyFont="1" applyFill="1" applyBorder="1"/>
    <xf numFmtId="0" fontId="11" fillId="0" borderId="21" xfId="0" applyFont="1" applyBorder="1"/>
    <xf numFmtId="0" fontId="5" fillId="0" borderId="21" xfId="0" applyFont="1" applyBorder="1"/>
    <xf numFmtId="0" fontId="26" fillId="22" borderId="0" xfId="0" applyFont="1" applyFill="1"/>
    <xf numFmtId="0" fontId="26" fillId="22" borderId="13" xfId="0" applyFont="1" applyFill="1" applyBorder="1"/>
    <xf numFmtId="0" fontId="3" fillId="0" borderId="33" xfId="0" applyFont="1" applyBorder="1"/>
    <xf numFmtId="0" fontId="11" fillId="0" borderId="34" xfId="0" applyFont="1" applyBorder="1"/>
    <xf numFmtId="0" fontId="11" fillId="0" borderId="24" xfId="0" applyFont="1" applyBorder="1"/>
    <xf numFmtId="0" fontId="5" fillId="22" borderId="12" xfId="0" applyFont="1" applyFill="1" applyBorder="1" applyAlignment="1">
      <alignment horizontal="right"/>
    </xf>
    <xf numFmtId="0" fontId="5" fillId="22" borderId="22" xfId="0" applyFont="1" applyFill="1" applyBorder="1"/>
    <xf numFmtId="0" fontId="5" fillId="22" borderId="18" xfId="0" applyFont="1" applyFill="1" applyBorder="1"/>
    <xf numFmtId="0" fontId="26" fillId="22" borderId="19" xfId="0" applyFont="1" applyFill="1" applyBorder="1"/>
    <xf numFmtId="0" fontId="14" fillId="6" borderId="3" xfId="0" applyFont="1" applyFill="1" applyBorder="1"/>
    <xf numFmtId="0" fontId="14" fillId="8" borderId="3" xfId="0" applyFont="1" applyFill="1" applyBorder="1"/>
    <xf numFmtId="0" fontId="16" fillId="37" borderId="20" xfId="0" applyFont="1" applyFill="1" applyBorder="1" applyAlignment="1">
      <alignment horizontal="center"/>
    </xf>
    <xf numFmtId="0" fontId="16" fillId="36" borderId="9" xfId="0" applyFont="1" applyFill="1" applyBorder="1"/>
    <xf numFmtId="0" fontId="16" fillId="36" borderId="10" xfId="0" applyFont="1" applyFill="1" applyBorder="1" applyAlignment="1">
      <alignment horizontal="center" wrapText="1"/>
    </xf>
    <xf numFmtId="0" fontId="16" fillId="36" borderId="10" xfId="0" applyFont="1" applyFill="1" applyBorder="1" applyAlignment="1">
      <alignment horizontal="center"/>
    </xf>
    <xf numFmtId="0" fontId="8" fillId="2" borderId="0" xfId="0" applyFont="1" applyFill="1"/>
    <xf numFmtId="0" fontId="8" fillId="2" borderId="16" xfId="0" applyFont="1" applyFill="1" applyBorder="1"/>
    <xf numFmtId="0" fontId="8" fillId="2" borderId="0" xfId="0" applyFont="1" applyFill="1" applyAlignment="1">
      <alignment horizontal="center"/>
    </xf>
    <xf numFmtId="0" fontId="8" fillId="0" borderId="0" xfId="0" applyFont="1"/>
    <xf numFmtId="0" fontId="6" fillId="25" borderId="9" xfId="0" applyFont="1" applyFill="1" applyBorder="1" applyAlignment="1">
      <alignment horizontal="right"/>
    </xf>
    <xf numFmtId="0" fontId="6" fillId="25" borderId="17" xfId="0" applyFont="1" applyFill="1" applyBorder="1" applyAlignment="1">
      <alignment horizontal="right"/>
    </xf>
    <xf numFmtId="0" fontId="6" fillId="25" borderId="10" xfId="0" applyFont="1" applyFill="1" applyBorder="1" applyAlignment="1">
      <alignment horizontal="center"/>
    </xf>
    <xf numFmtId="0" fontId="8" fillId="25" borderId="13" xfId="0" applyFont="1" applyFill="1" applyBorder="1" applyAlignment="1">
      <alignment horizontal="center"/>
    </xf>
    <xf numFmtId="0" fontId="8" fillId="25" borderId="10" xfId="0" applyFont="1" applyFill="1" applyBorder="1" applyAlignment="1">
      <alignment horizontal="center"/>
    </xf>
    <xf numFmtId="0" fontId="8" fillId="25" borderId="14" xfId="0" applyFont="1" applyFill="1" applyBorder="1" applyAlignment="1">
      <alignment horizontal="right"/>
    </xf>
    <xf numFmtId="0" fontId="6" fillId="25" borderId="0" xfId="0" applyFont="1" applyFill="1" applyAlignment="1">
      <alignment horizontal="right"/>
    </xf>
    <xf numFmtId="0" fontId="6" fillId="25" borderId="16" xfId="0" applyFont="1" applyFill="1" applyBorder="1"/>
    <xf numFmtId="0" fontId="6" fillId="25" borderId="0" xfId="0" applyFont="1" applyFill="1" applyAlignment="1">
      <alignment horizontal="center"/>
    </xf>
    <xf numFmtId="0" fontId="8" fillId="25" borderId="0" xfId="0" applyFont="1" applyFill="1" applyAlignment="1">
      <alignment horizontal="center"/>
    </xf>
    <xf numFmtId="0" fontId="8" fillId="25" borderId="16" xfId="0" applyFont="1" applyFill="1" applyBorder="1"/>
    <xf numFmtId="0" fontId="6" fillId="25" borderId="12" xfId="0" applyFont="1" applyFill="1" applyBorder="1" applyAlignment="1">
      <alignment horizontal="right"/>
    </xf>
    <xf numFmtId="0" fontId="6" fillId="25" borderId="22" xfId="0" applyFont="1" applyFill="1" applyBorder="1" applyAlignment="1">
      <alignment horizontal="right"/>
    </xf>
    <xf numFmtId="0" fontId="6" fillId="25" borderId="13" xfId="0" applyFont="1" applyFill="1" applyBorder="1" applyAlignment="1">
      <alignment horizontal="center"/>
    </xf>
    <xf numFmtId="0" fontId="8" fillId="25" borderId="12" xfId="0" applyFont="1" applyFill="1" applyBorder="1" applyAlignment="1">
      <alignment horizontal="right"/>
    </xf>
    <xf numFmtId="0" fontId="6" fillId="25" borderId="13" xfId="0" applyFont="1" applyFill="1" applyBorder="1" applyAlignment="1">
      <alignment horizontal="right"/>
    </xf>
    <xf numFmtId="0" fontId="6" fillId="25" borderId="22" xfId="0" applyFont="1" applyFill="1" applyBorder="1"/>
    <xf numFmtId="0" fontId="8" fillId="25" borderId="16" xfId="0" applyFont="1" applyFill="1" applyBorder="1" applyAlignment="1">
      <alignment wrapText="1"/>
    </xf>
    <xf numFmtId="0" fontId="8" fillId="25" borderId="17" xfId="0" applyFont="1" applyFill="1" applyBorder="1"/>
    <xf numFmtId="0" fontId="6" fillId="25" borderId="14" xfId="0" applyFont="1" applyFill="1" applyBorder="1" applyAlignment="1">
      <alignment horizontal="right"/>
    </xf>
    <xf numFmtId="0" fontId="9" fillId="0" borderId="0" xfId="0" applyFont="1"/>
    <xf numFmtId="0" fontId="6" fillId="25" borderId="18" xfId="0" applyFont="1" applyFill="1" applyBorder="1" applyAlignment="1">
      <alignment horizontal="right"/>
    </xf>
    <xf numFmtId="0" fontId="6" fillId="25" borderId="19" xfId="0" applyFont="1" applyFill="1" applyBorder="1" applyAlignment="1">
      <alignment horizontal="right"/>
    </xf>
    <xf numFmtId="0" fontId="8" fillId="2" borderId="22" xfId="0" applyFont="1" applyFill="1" applyBorder="1"/>
    <xf numFmtId="0" fontId="8" fillId="2" borderId="13" xfId="0" applyFont="1" applyFill="1" applyBorder="1" applyAlignment="1">
      <alignment horizontal="center"/>
    </xf>
    <xf numFmtId="0" fontId="9" fillId="25" borderId="13" xfId="0" applyFont="1" applyFill="1" applyBorder="1"/>
    <xf numFmtId="0" fontId="8" fillId="25" borderId="13" xfId="0" applyFont="1" applyFill="1" applyBorder="1"/>
    <xf numFmtId="0" fontId="9" fillId="25" borderId="12" xfId="0" applyFont="1" applyFill="1" applyBorder="1" applyAlignment="1">
      <alignment horizontal="center"/>
    </xf>
    <xf numFmtId="0" fontId="8" fillId="25" borderId="0" xfId="0" applyFont="1" applyFill="1"/>
    <xf numFmtId="0" fontId="9" fillId="25" borderId="0" xfId="0" applyFont="1" applyFill="1"/>
    <xf numFmtId="0" fontId="9" fillId="25" borderId="14" xfId="0" applyFont="1" applyFill="1" applyBorder="1" applyAlignment="1">
      <alignment horizontal="center"/>
    </xf>
    <xf numFmtId="0" fontId="6" fillId="28" borderId="14" xfId="0" applyFont="1" applyFill="1" applyBorder="1" applyAlignment="1">
      <alignment horizontal="right"/>
    </xf>
    <xf numFmtId="0" fontId="9" fillId="28" borderId="0" xfId="0" applyFont="1" applyFill="1"/>
    <xf numFmtId="0" fontId="8" fillId="28" borderId="0" xfId="0" applyFont="1" applyFill="1"/>
    <xf numFmtId="0" fontId="9" fillId="28" borderId="18" xfId="0" applyFont="1" applyFill="1" applyBorder="1" applyAlignment="1">
      <alignment horizontal="center"/>
    </xf>
    <xf numFmtId="0" fontId="8" fillId="28" borderId="19" xfId="0" applyFont="1" applyFill="1" applyBorder="1" applyAlignment="1">
      <alignment horizontal="center"/>
    </xf>
    <xf numFmtId="0" fontId="8" fillId="12" borderId="10" xfId="0" applyFont="1" applyFill="1" applyBorder="1"/>
    <xf numFmtId="0" fontId="8" fillId="12" borderId="17" xfId="0" applyFont="1" applyFill="1" applyBorder="1"/>
    <xf numFmtId="0" fontId="8" fillId="12" borderId="19" xfId="0" applyFont="1" applyFill="1" applyBorder="1" applyAlignment="1">
      <alignment horizontal="center"/>
    </xf>
    <xf numFmtId="0" fontId="6" fillId="7" borderId="14" xfId="0" applyFont="1" applyFill="1" applyBorder="1" applyAlignment="1">
      <alignment horizontal="right"/>
    </xf>
    <xf numFmtId="0" fontId="9" fillId="7" borderId="0" xfId="0" applyFont="1" applyFill="1"/>
    <xf numFmtId="0" fontId="8" fillId="7" borderId="16" xfId="0" applyFont="1" applyFill="1" applyBorder="1"/>
    <xf numFmtId="0" fontId="8" fillId="7" borderId="0" xfId="0" applyFont="1" applyFill="1" applyAlignment="1">
      <alignment horizontal="center"/>
    </xf>
    <xf numFmtId="0" fontId="8" fillId="7" borderId="0" xfId="0" applyFont="1" applyFill="1"/>
    <xf numFmtId="0" fontId="10" fillId="3" borderId="12" xfId="0" applyFont="1" applyFill="1" applyBorder="1" applyAlignment="1">
      <alignment horizontal="left"/>
    </xf>
    <xf numFmtId="0" fontId="9" fillId="3" borderId="13" xfId="0" applyFont="1" applyFill="1" applyBorder="1"/>
    <xf numFmtId="0" fontId="8" fillId="3" borderId="22" xfId="0" applyFont="1" applyFill="1" applyBorder="1"/>
    <xf numFmtId="0" fontId="8" fillId="3" borderId="13" xfId="0" applyFont="1" applyFill="1" applyBorder="1" applyAlignment="1">
      <alignment horizontal="center"/>
    </xf>
    <xf numFmtId="0" fontId="8" fillId="23" borderId="12" xfId="0" applyFont="1" applyFill="1" applyBorder="1" applyAlignment="1">
      <alignment horizontal="right"/>
    </xf>
    <xf numFmtId="0" fontId="8" fillId="23" borderId="13" xfId="0" applyFont="1" applyFill="1" applyBorder="1"/>
    <xf numFmtId="0" fontId="8" fillId="23" borderId="12" xfId="0" applyFont="1" applyFill="1" applyBorder="1" applyAlignment="1">
      <alignment horizontal="center"/>
    </xf>
    <xf numFmtId="0" fontId="8" fillId="23" borderId="13" xfId="0" applyFont="1" applyFill="1" applyBorder="1" applyAlignment="1">
      <alignment horizontal="center"/>
    </xf>
    <xf numFmtId="0" fontId="8" fillId="22" borderId="14" xfId="0" applyFont="1" applyFill="1" applyBorder="1" applyAlignment="1">
      <alignment horizontal="right"/>
    </xf>
    <xf numFmtId="0" fontId="8" fillId="22" borderId="0" xfId="0" applyFont="1" applyFill="1"/>
    <xf numFmtId="0" fontId="8" fillId="22" borderId="14" xfId="0" applyFont="1" applyFill="1" applyBorder="1" applyAlignment="1">
      <alignment horizontal="center"/>
    </xf>
    <xf numFmtId="0" fontId="8" fillId="22" borderId="0" xfId="0" applyFont="1" applyFill="1" applyAlignment="1">
      <alignment horizontal="center"/>
    </xf>
    <xf numFmtId="0" fontId="8" fillId="22" borderId="18" xfId="0" applyFont="1" applyFill="1" applyBorder="1" applyAlignment="1">
      <alignment horizontal="right"/>
    </xf>
    <xf numFmtId="0" fontId="8" fillId="22" borderId="19" xfId="0" applyFont="1" applyFill="1" applyBorder="1"/>
    <xf numFmtId="0" fontId="8" fillId="22" borderId="18" xfId="0" applyFont="1" applyFill="1" applyBorder="1" applyAlignment="1">
      <alignment horizontal="center"/>
    </xf>
    <xf numFmtId="0" fontId="8" fillId="22" borderId="19" xfId="0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0" fontId="8" fillId="20" borderId="0" xfId="0" applyFont="1" applyFill="1"/>
    <xf numFmtId="0" fontId="8" fillId="20" borderId="0" xfId="0" applyFont="1" applyFill="1" applyAlignment="1">
      <alignment horizontal="center"/>
    </xf>
    <xf numFmtId="0" fontId="6" fillId="21" borderId="12" xfId="0" applyFont="1" applyFill="1" applyBorder="1" applyAlignment="1">
      <alignment horizontal="right"/>
    </xf>
    <xf numFmtId="0" fontId="8" fillId="21" borderId="13" xfId="0" applyFont="1" applyFill="1" applyBorder="1"/>
    <xf numFmtId="0" fontId="8" fillId="21" borderId="12" xfId="0" applyFont="1" applyFill="1" applyBorder="1" applyAlignment="1">
      <alignment horizontal="center"/>
    </xf>
    <xf numFmtId="0" fontId="8" fillId="21" borderId="13" xfId="0" applyFont="1" applyFill="1" applyBorder="1" applyAlignment="1">
      <alignment horizontal="center"/>
    </xf>
    <xf numFmtId="0" fontId="6" fillId="26" borderId="14" xfId="0" applyFont="1" applyFill="1" applyBorder="1" applyAlignment="1">
      <alignment horizontal="right"/>
    </xf>
    <xf numFmtId="0" fontId="8" fillId="26" borderId="0" xfId="0" applyFont="1" applyFill="1"/>
    <xf numFmtId="0" fontId="8" fillId="26" borderId="14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4" borderId="23" xfId="0" applyFont="1" applyFill="1" applyBorder="1"/>
    <xf numFmtId="0" fontId="8" fillId="24" borderId="19" xfId="0" applyFont="1" applyFill="1" applyBorder="1" applyAlignment="1">
      <alignment horizontal="center"/>
    </xf>
    <xf numFmtId="0" fontId="6" fillId="11" borderId="14" xfId="0" applyFont="1" applyFill="1" applyBorder="1" applyAlignment="1">
      <alignment horizontal="right"/>
    </xf>
    <xf numFmtId="0" fontId="6" fillId="11" borderId="0" xfId="0" applyFont="1" applyFill="1"/>
    <xf numFmtId="0" fontId="8" fillId="11" borderId="16" xfId="0" applyFont="1" applyFill="1" applyBorder="1"/>
    <xf numFmtId="0" fontId="8" fillId="11" borderId="0" xfId="0" applyFont="1" applyFill="1" applyAlignment="1">
      <alignment horizontal="center"/>
    </xf>
    <xf numFmtId="0" fontId="6" fillId="20" borderId="9" xfId="0" applyFont="1" applyFill="1" applyBorder="1" applyAlignment="1">
      <alignment horizontal="right"/>
    </xf>
    <xf numFmtId="0" fontId="8" fillId="20" borderId="17" xfId="0" applyFont="1" applyFill="1" applyBorder="1"/>
    <xf numFmtId="0" fontId="8" fillId="20" borderId="10" xfId="0" applyFont="1" applyFill="1" applyBorder="1" applyAlignment="1">
      <alignment horizontal="center"/>
    </xf>
    <xf numFmtId="0" fontId="6" fillId="26" borderId="14" xfId="0" applyFont="1" applyFill="1" applyBorder="1" applyAlignment="1">
      <alignment horizontal="left"/>
    </xf>
    <xf numFmtId="0" fontId="6" fillId="26" borderId="0" xfId="0" applyFont="1" applyFill="1" applyAlignment="1">
      <alignment horizontal="right"/>
    </xf>
    <xf numFmtId="0" fontId="8" fillId="26" borderId="16" xfId="0" applyFont="1" applyFill="1" applyBorder="1"/>
    <xf numFmtId="0" fontId="9" fillId="26" borderId="16" xfId="0" applyFont="1" applyFill="1" applyBorder="1"/>
    <xf numFmtId="0" fontId="8" fillId="26" borderId="16" xfId="0" applyFont="1" applyFill="1" applyBorder="1" applyAlignment="1">
      <alignment vertical="center"/>
    </xf>
    <xf numFmtId="0" fontId="8" fillId="26" borderId="14" xfId="0" applyFont="1" applyFill="1" applyBorder="1" applyAlignment="1">
      <alignment horizontal="left"/>
    </xf>
    <xf numFmtId="0" fontId="9" fillId="26" borderId="0" xfId="0" applyFont="1" applyFill="1" applyAlignment="1">
      <alignment horizontal="center"/>
    </xf>
    <xf numFmtId="0" fontId="9" fillId="26" borderId="14" xfId="0" applyFont="1" applyFill="1" applyBorder="1" applyAlignment="1">
      <alignment horizontal="left"/>
    </xf>
    <xf numFmtId="0" fontId="10" fillId="20" borderId="10" xfId="0" applyFont="1" applyFill="1" applyBorder="1" applyAlignment="1">
      <alignment horizontal="left"/>
    </xf>
    <xf numFmtId="0" fontId="9" fillId="20" borderId="17" xfId="0" applyFont="1" applyFill="1" applyBorder="1"/>
    <xf numFmtId="0" fontId="9" fillId="20" borderId="10" xfId="0" applyFont="1" applyFill="1" applyBorder="1" applyAlignment="1">
      <alignment horizontal="center"/>
    </xf>
    <xf numFmtId="0" fontId="8" fillId="30" borderId="14" xfId="0" applyFont="1" applyFill="1" applyBorder="1" applyAlignment="1">
      <alignment horizontal="left"/>
    </xf>
    <xf numFmtId="0" fontId="6" fillId="30" borderId="0" xfId="0" applyFont="1" applyFill="1" applyAlignment="1">
      <alignment horizontal="right"/>
    </xf>
    <xf numFmtId="0" fontId="9" fillId="30" borderId="16" xfId="0" applyFont="1" applyFill="1" applyBorder="1"/>
    <xf numFmtId="0" fontId="9" fillId="30" borderId="0" xfId="0" applyFont="1" applyFill="1" applyAlignment="1">
      <alignment horizontal="center"/>
    </xf>
    <xf numFmtId="0" fontId="8" fillId="30" borderId="0" xfId="0" applyFont="1" applyFill="1" applyAlignment="1">
      <alignment horizontal="center"/>
    </xf>
    <xf numFmtId="0" fontId="8" fillId="30" borderId="16" xfId="0" applyFont="1" applyFill="1" applyBorder="1"/>
    <xf numFmtId="0" fontId="16" fillId="38" borderId="9" xfId="0" applyFont="1" applyFill="1" applyBorder="1" applyAlignment="1">
      <alignment horizontal="left"/>
    </xf>
    <xf numFmtId="0" fontId="9" fillId="38" borderId="10" xfId="0" applyFont="1" applyFill="1" applyBorder="1"/>
    <xf numFmtId="0" fontId="8" fillId="38" borderId="17" xfId="0" applyFont="1" applyFill="1" applyBorder="1"/>
    <xf numFmtId="0" fontId="17" fillId="38" borderId="10" xfId="0" applyFont="1" applyFill="1" applyBorder="1" applyAlignment="1">
      <alignment horizontal="center"/>
    </xf>
    <xf numFmtId="0" fontId="17" fillId="31" borderId="14" xfId="0" applyFont="1" applyFill="1" applyBorder="1" applyAlignment="1">
      <alignment horizontal="right"/>
    </xf>
    <xf numFmtId="0" fontId="17" fillId="31" borderId="0" xfId="0" applyFont="1" applyFill="1"/>
    <xf numFmtId="0" fontId="17" fillId="31" borderId="16" xfId="0" applyFont="1" applyFill="1" applyBorder="1"/>
    <xf numFmtId="0" fontId="17" fillId="31" borderId="0" xfId="0" applyFont="1" applyFill="1" applyAlignment="1">
      <alignment horizontal="center"/>
    </xf>
    <xf numFmtId="0" fontId="9" fillId="0" borderId="0" xfId="0" applyFont="1" applyAlignment="1">
      <alignment horizontal="right"/>
    </xf>
    <xf numFmtId="0" fontId="16" fillId="13" borderId="12" xfId="0" applyFont="1" applyFill="1" applyBorder="1" applyAlignment="1">
      <alignment horizontal="left"/>
    </xf>
    <xf numFmtId="0" fontId="8" fillId="13" borderId="22" xfId="0" applyFont="1" applyFill="1" applyBorder="1"/>
    <xf numFmtId="0" fontId="17" fillId="13" borderId="13" xfId="0" applyFont="1" applyFill="1" applyBorder="1" applyAlignment="1">
      <alignment horizontal="center"/>
    </xf>
    <xf numFmtId="0" fontId="16" fillId="13" borderId="12" xfId="0" applyFont="1" applyFill="1" applyBorder="1"/>
    <xf numFmtId="0" fontId="6" fillId="14" borderId="12" xfId="0" applyFont="1" applyFill="1" applyBorder="1" applyAlignment="1">
      <alignment horizontal="right"/>
    </xf>
    <xf numFmtId="0" fontId="9" fillId="14" borderId="13" xfId="0" applyFont="1" applyFill="1" applyBorder="1" applyAlignment="1">
      <alignment horizontal="center"/>
    </xf>
    <xf numFmtId="0" fontId="8" fillId="14" borderId="13" xfId="0" applyFont="1" applyFill="1" applyBorder="1" applyAlignment="1">
      <alignment horizontal="center"/>
    </xf>
    <xf numFmtId="0" fontId="6" fillId="14" borderId="14" xfId="0" applyFont="1" applyFill="1" applyBorder="1" applyAlignment="1">
      <alignment horizontal="right"/>
    </xf>
    <xf numFmtId="0" fontId="9" fillId="14" borderId="0" xfId="0" applyFont="1" applyFill="1" applyAlignment="1">
      <alignment horizontal="center"/>
    </xf>
    <xf numFmtId="0" fontId="8" fillId="14" borderId="0" xfId="0" applyFont="1" applyFill="1" applyAlignment="1">
      <alignment horizontal="center"/>
    </xf>
    <xf numFmtId="0" fontId="9" fillId="14" borderId="0" xfId="0" applyFont="1" applyFill="1"/>
    <xf numFmtId="0" fontId="8" fillId="14" borderId="14" xfId="0" applyFont="1" applyFill="1" applyBorder="1" applyAlignment="1">
      <alignment horizontal="right"/>
    </xf>
    <xf numFmtId="0" fontId="6" fillId="14" borderId="18" xfId="0" applyFont="1" applyFill="1" applyBorder="1" applyAlignment="1">
      <alignment horizontal="right"/>
    </xf>
    <xf numFmtId="0" fontId="8" fillId="14" borderId="19" xfId="0" applyFont="1" applyFill="1" applyBorder="1"/>
    <xf numFmtId="0" fontId="8" fillId="14" borderId="23" xfId="0" applyFont="1" applyFill="1" applyBorder="1"/>
    <xf numFmtId="0" fontId="9" fillId="14" borderId="19" xfId="0" applyFont="1" applyFill="1" applyBorder="1" applyAlignment="1">
      <alignment horizontal="center"/>
    </xf>
    <xf numFmtId="0" fontId="8" fillId="14" borderId="19" xfId="0" applyFont="1" applyFill="1" applyBorder="1" applyAlignment="1">
      <alignment horizontal="center"/>
    </xf>
    <xf numFmtId="0" fontId="16" fillId="27" borderId="14" xfId="0" applyFont="1" applyFill="1" applyBorder="1"/>
    <xf numFmtId="0" fontId="17" fillId="27" borderId="0" xfId="0" applyFont="1" applyFill="1"/>
    <xf numFmtId="0" fontId="17" fillId="27" borderId="16" xfId="0" applyFont="1" applyFill="1" applyBorder="1"/>
    <xf numFmtId="0" fontId="17" fillId="27" borderId="0" xfId="0" applyFont="1" applyFill="1" applyAlignment="1">
      <alignment horizontal="center"/>
    </xf>
    <xf numFmtId="0" fontId="8" fillId="12" borderId="0" xfId="0" applyFont="1" applyFill="1" applyAlignment="1">
      <alignment horizontal="center"/>
    </xf>
    <xf numFmtId="0" fontId="2" fillId="12" borderId="0" xfId="0" applyFont="1" applyFill="1" applyAlignment="1">
      <alignment wrapText="1"/>
    </xf>
    <xf numFmtId="0" fontId="8" fillId="12" borderId="14" xfId="0" applyFont="1" applyFill="1" applyBorder="1" applyAlignment="1">
      <alignment horizontal="right"/>
    </xf>
    <xf numFmtId="0" fontId="8" fillId="12" borderId="0" xfId="0" applyFont="1" applyFill="1"/>
    <xf numFmtId="0" fontId="8" fillId="12" borderId="16" xfId="0" applyFont="1" applyFill="1" applyBorder="1"/>
    <xf numFmtId="0" fontId="2" fillId="12" borderId="18" xfId="0" applyFont="1" applyFill="1" applyBorder="1" applyAlignment="1">
      <alignment horizontal="right"/>
    </xf>
    <xf numFmtId="0" fontId="2" fillId="12" borderId="19" xfId="0" applyFont="1" applyFill="1" applyBorder="1"/>
    <xf numFmtId="0" fontId="2" fillId="12" borderId="23" xfId="0" applyFont="1" applyFill="1" applyBorder="1"/>
    <xf numFmtId="0" fontId="16" fillId="13" borderId="14" xfId="0" applyFont="1" applyFill="1" applyBorder="1"/>
    <xf numFmtId="0" fontId="17" fillId="13" borderId="0" xfId="0" applyFont="1" applyFill="1"/>
    <xf numFmtId="0" fontId="17" fillId="13" borderId="16" xfId="0" applyFont="1" applyFill="1" applyBorder="1"/>
    <xf numFmtId="0" fontId="17" fillId="13" borderId="0" xfId="0" applyFont="1" applyFill="1" applyAlignment="1">
      <alignment horizontal="center"/>
    </xf>
    <xf numFmtId="0" fontId="8" fillId="34" borderId="9" xfId="0" applyFont="1" applyFill="1" applyBorder="1" applyAlignment="1">
      <alignment horizontal="right"/>
    </xf>
    <xf numFmtId="0" fontId="8" fillId="34" borderId="17" xfId="0" applyFont="1" applyFill="1" applyBorder="1"/>
    <xf numFmtId="0" fontId="8" fillId="34" borderId="10" xfId="0" applyFont="1" applyFill="1" applyBorder="1" applyAlignment="1">
      <alignment horizontal="center"/>
    </xf>
    <xf numFmtId="0" fontId="8" fillId="14" borderId="14" xfId="0" applyFont="1" applyFill="1" applyBorder="1" applyAlignment="1">
      <alignment horizontal="left"/>
    </xf>
    <xf numFmtId="0" fontId="8" fillId="34" borderId="13" xfId="0" applyFont="1" applyFill="1" applyBorder="1" applyAlignment="1">
      <alignment horizontal="center"/>
    </xf>
    <xf numFmtId="0" fontId="9" fillId="14" borderId="16" xfId="0" applyFont="1" applyFill="1" applyBorder="1" applyAlignment="1">
      <alignment wrapText="1"/>
    </xf>
    <xf numFmtId="0" fontId="8" fillId="14" borderId="18" xfId="0" applyFont="1" applyFill="1" applyBorder="1" applyAlignment="1">
      <alignment horizontal="left"/>
    </xf>
    <xf numFmtId="0" fontId="6" fillId="14" borderId="19" xfId="0" applyFont="1" applyFill="1" applyBorder="1" applyAlignment="1">
      <alignment horizontal="right"/>
    </xf>
    <xf numFmtId="0" fontId="9" fillId="14" borderId="23" xfId="0" applyFont="1" applyFill="1" applyBorder="1"/>
    <xf numFmtId="0" fontId="8" fillId="34" borderId="18" xfId="0" applyFont="1" applyFill="1" applyBorder="1" applyAlignment="1">
      <alignment horizontal="right"/>
    </xf>
    <xf numFmtId="0" fontId="8" fillId="34" borderId="19" xfId="0" applyFont="1" applyFill="1" applyBorder="1"/>
    <xf numFmtId="0" fontId="17" fillId="13" borderId="13" xfId="0" applyFont="1" applyFill="1" applyBorder="1"/>
    <xf numFmtId="0" fontId="17" fillId="13" borderId="12" xfId="0" applyFont="1" applyFill="1" applyBorder="1" applyAlignment="1">
      <alignment horizontal="center"/>
    </xf>
    <xf numFmtId="0" fontId="2" fillId="14" borderId="13" xfId="0" applyFont="1" applyFill="1" applyBorder="1"/>
    <xf numFmtId="0" fontId="8" fillId="14" borderId="12" xfId="0" applyFont="1" applyFill="1" applyBorder="1" applyAlignment="1">
      <alignment horizontal="center"/>
    </xf>
    <xf numFmtId="0" fontId="8" fillId="14" borderId="21" xfId="0" applyFont="1" applyFill="1" applyBorder="1" applyAlignment="1">
      <alignment horizontal="center"/>
    </xf>
    <xf numFmtId="0" fontId="8" fillId="14" borderId="14" xfId="0" applyFont="1" applyFill="1" applyBorder="1" applyAlignment="1">
      <alignment horizontal="center"/>
    </xf>
    <xf numFmtId="0" fontId="8" fillId="14" borderId="8" xfId="0" applyFont="1" applyFill="1" applyBorder="1"/>
    <xf numFmtId="0" fontId="8" fillId="14" borderId="18" xfId="0" applyFont="1" applyFill="1" applyBorder="1" applyAlignment="1">
      <alignment horizontal="right"/>
    </xf>
    <xf numFmtId="0" fontId="2" fillId="14" borderId="19" xfId="0" applyFont="1" applyFill="1" applyBorder="1"/>
    <xf numFmtId="0" fontId="8" fillId="14" borderId="18" xfId="0" applyFont="1" applyFill="1" applyBorder="1" applyAlignment="1">
      <alignment horizontal="center"/>
    </xf>
    <xf numFmtId="0" fontId="8" fillId="14" borderId="15" xfId="0" applyFont="1" applyFill="1" applyBorder="1"/>
    <xf numFmtId="0" fontId="8" fillId="14" borderId="0" xfId="0" applyFont="1" applyFill="1" applyAlignment="1">
      <alignment wrapText="1"/>
    </xf>
    <xf numFmtId="0" fontId="9" fillId="14" borderId="14" xfId="0" applyFont="1" applyFill="1" applyBorder="1" applyAlignment="1">
      <alignment horizontal="center"/>
    </xf>
    <xf numFmtId="0" fontId="8" fillId="23" borderId="9" xfId="0" applyFont="1" applyFill="1" applyBorder="1" applyAlignment="1">
      <alignment horizontal="right"/>
    </xf>
    <xf numFmtId="0" fontId="8" fillId="23" borderId="10" xfId="0" applyFont="1" applyFill="1" applyBorder="1"/>
    <xf numFmtId="0" fontId="8" fillId="23" borderId="17" xfId="0" applyFont="1" applyFill="1" applyBorder="1"/>
    <xf numFmtId="0" fontId="8" fillId="23" borderId="10" xfId="0" applyFont="1" applyFill="1" applyBorder="1" applyAlignment="1">
      <alignment horizontal="center"/>
    </xf>
    <xf numFmtId="0" fontId="16" fillId="13" borderId="14" xfId="0" applyFont="1" applyFill="1" applyBorder="1" applyAlignment="1">
      <alignment horizontal="left"/>
    </xf>
    <xf numFmtId="0" fontId="16" fillId="13" borderId="0" xfId="0" applyFont="1" applyFill="1" applyAlignment="1">
      <alignment horizontal="right"/>
    </xf>
    <xf numFmtId="0" fontId="16" fillId="13" borderId="16" xfId="0" applyFont="1" applyFill="1" applyBorder="1"/>
    <xf numFmtId="0" fontId="16" fillId="13" borderId="0" xfId="0" applyFont="1" applyFill="1" applyAlignment="1">
      <alignment horizontal="center"/>
    </xf>
    <xf numFmtId="0" fontId="6" fillId="14" borderId="13" xfId="0" applyFont="1" applyFill="1" applyBorder="1"/>
    <xf numFmtId="0" fontId="6" fillId="14" borderId="12" xfId="0" applyFont="1" applyFill="1" applyBorder="1" applyAlignment="1">
      <alignment horizontal="center"/>
    </xf>
    <xf numFmtId="0" fontId="8" fillId="14" borderId="25" xfId="0" applyFont="1" applyFill="1" applyBorder="1" applyAlignment="1">
      <alignment horizontal="center"/>
    </xf>
    <xf numFmtId="0" fontId="19" fillId="25" borderId="3" xfId="0" applyFont="1" applyFill="1" applyBorder="1"/>
    <xf numFmtId="0" fontId="19" fillId="2" borderId="3" xfId="0" applyFont="1" applyFill="1" applyBorder="1"/>
    <xf numFmtId="0" fontId="19" fillId="25" borderId="11" xfId="0" applyFont="1" applyFill="1" applyBorder="1"/>
    <xf numFmtId="0" fontId="8" fillId="25" borderId="21" xfId="0" applyFont="1" applyFill="1" applyBorder="1" applyAlignment="1">
      <alignment horizontal="center"/>
    </xf>
    <xf numFmtId="0" fontId="8" fillId="28" borderId="21" xfId="0" applyFont="1" applyFill="1" applyBorder="1" applyAlignment="1">
      <alignment horizontal="center"/>
    </xf>
    <xf numFmtId="0" fontId="18" fillId="36" borderId="21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 vertical="center"/>
    </xf>
    <xf numFmtId="0" fontId="10" fillId="39" borderId="19" xfId="0" applyFont="1" applyFill="1" applyBorder="1"/>
    <xf numFmtId="0" fontId="17" fillId="15" borderId="9" xfId="0" applyFont="1" applyFill="1" applyBorder="1"/>
    <xf numFmtId="0" fontId="15" fillId="36" borderId="22" xfId="0" applyFont="1" applyFill="1" applyBorder="1"/>
    <xf numFmtId="0" fontId="16" fillId="15" borderId="17" xfId="0" applyFont="1" applyFill="1" applyBorder="1"/>
    <xf numFmtId="0" fontId="0" fillId="39" borderId="15" xfId="0" applyFill="1" applyBorder="1"/>
    <xf numFmtId="0" fontId="6" fillId="39" borderId="23" xfId="0" applyFont="1" applyFill="1" applyBorder="1"/>
    <xf numFmtId="0" fontId="16" fillId="36" borderId="7" xfId="0" applyFont="1" applyFill="1" applyBorder="1"/>
    <xf numFmtId="0" fontId="17" fillId="15" borderId="11" xfId="0" applyFont="1" applyFill="1" applyBorder="1"/>
    <xf numFmtId="0" fontId="2" fillId="25" borderId="16" xfId="0" applyFont="1" applyFill="1" applyBorder="1" applyAlignment="1">
      <alignment wrapText="1"/>
    </xf>
    <xf numFmtId="0" fontId="2" fillId="25" borderId="0" xfId="0" applyFont="1" applyFill="1" applyAlignment="1">
      <alignment horizontal="center"/>
    </xf>
    <xf numFmtId="0" fontId="2" fillId="14" borderId="14" xfId="0" applyFont="1" applyFill="1" applyBorder="1" applyAlignment="1">
      <alignment horizontal="right"/>
    </xf>
    <xf numFmtId="0" fontId="6" fillId="20" borderId="12" xfId="0" applyFont="1" applyFill="1" applyBorder="1" applyAlignment="1">
      <alignment horizontal="right"/>
    </xf>
    <xf numFmtId="0" fontId="10" fillId="20" borderId="13" xfId="0" applyFont="1" applyFill="1" applyBorder="1"/>
    <xf numFmtId="0" fontId="8" fillId="20" borderId="22" xfId="0" applyFont="1" applyFill="1" applyBorder="1"/>
    <xf numFmtId="0" fontId="8" fillId="20" borderId="13" xfId="0" applyFont="1" applyFill="1" applyBorder="1" applyAlignment="1">
      <alignment horizontal="center"/>
    </xf>
    <xf numFmtId="0" fontId="8" fillId="26" borderId="9" xfId="0" applyFont="1" applyFill="1" applyBorder="1" applyAlignment="1">
      <alignment horizontal="right"/>
    </xf>
    <xf numFmtId="0" fontId="6" fillId="26" borderId="10" xfId="0" applyFont="1" applyFill="1" applyBorder="1" applyAlignment="1">
      <alignment horizontal="right"/>
    </xf>
    <xf numFmtId="0" fontId="8" fillId="26" borderId="17" xfId="0" applyFont="1" applyFill="1" applyBorder="1"/>
    <xf numFmtId="0" fontId="8" fillId="26" borderId="10" xfId="0" applyFont="1" applyFill="1" applyBorder="1" applyAlignment="1">
      <alignment horizontal="center"/>
    </xf>
    <xf numFmtId="0" fontId="6" fillId="29" borderId="9" xfId="0" applyFont="1" applyFill="1" applyBorder="1" applyAlignment="1">
      <alignment horizontal="right"/>
    </xf>
    <xf numFmtId="0" fontId="19" fillId="29" borderId="10" xfId="0" applyFont="1" applyFill="1" applyBorder="1"/>
    <xf numFmtId="0" fontId="8" fillId="29" borderId="17" xfId="0" applyFont="1" applyFill="1" applyBorder="1"/>
    <xf numFmtId="0" fontId="8" fillId="29" borderId="10" xfId="0" applyFont="1" applyFill="1" applyBorder="1" applyAlignment="1">
      <alignment horizontal="center"/>
    </xf>
    <xf numFmtId="0" fontId="2" fillId="40" borderId="27" xfId="0" applyFont="1" applyFill="1" applyBorder="1"/>
    <xf numFmtId="0" fontId="0" fillId="40" borderId="35" xfId="0" applyFill="1" applyBorder="1"/>
    <xf numFmtId="0" fontId="0" fillId="2" borderId="36" xfId="0" applyFill="1" applyBorder="1"/>
    <xf numFmtId="0" fontId="1" fillId="6" borderId="13" xfId="0" applyFont="1" applyFill="1" applyBorder="1"/>
    <xf numFmtId="0" fontId="2" fillId="0" borderId="1" xfId="0" applyFont="1" applyBorder="1" applyAlignment="1">
      <alignment horizontal="right"/>
    </xf>
    <xf numFmtId="0" fontId="12" fillId="0" borderId="9" xfId="0" applyFont="1" applyBorder="1" applyAlignment="1">
      <alignment horizontal="right"/>
    </xf>
    <xf numFmtId="0" fontId="16" fillId="36" borderId="11" xfId="0" applyFont="1" applyFill="1" applyBorder="1"/>
    <xf numFmtId="0" fontId="19" fillId="2" borderId="8" xfId="0" applyFont="1" applyFill="1" applyBorder="1"/>
    <xf numFmtId="0" fontId="8" fillId="25" borderId="8" xfId="0" applyFont="1" applyFill="1" applyBorder="1"/>
    <xf numFmtId="0" fontId="19" fillId="25" borderId="7" xfId="0" applyFont="1" applyFill="1" applyBorder="1"/>
    <xf numFmtId="0" fontId="8" fillId="25" borderId="7" xfId="0" applyFont="1" applyFill="1" applyBorder="1"/>
    <xf numFmtId="0" fontId="2" fillId="25" borderId="8" xfId="0" applyFont="1" applyFill="1" applyBorder="1"/>
    <xf numFmtId="0" fontId="8" fillId="25" borderId="15" xfId="0" applyFont="1" applyFill="1" applyBorder="1"/>
    <xf numFmtId="0" fontId="19" fillId="2" borderId="11" xfId="0" applyFont="1" applyFill="1" applyBorder="1"/>
    <xf numFmtId="0" fontId="8" fillId="28" borderId="15" xfId="0" applyFont="1" applyFill="1" applyBorder="1"/>
    <xf numFmtId="0" fontId="19" fillId="12" borderId="8" xfId="0" applyFont="1" applyFill="1" applyBorder="1"/>
    <xf numFmtId="0" fontId="8" fillId="7" borderId="7" xfId="0" applyFont="1" applyFill="1" applyBorder="1"/>
    <xf numFmtId="0" fontId="8" fillId="7" borderId="8" xfId="0" applyFont="1" applyFill="1" applyBorder="1"/>
    <xf numFmtId="0" fontId="8" fillId="7" borderId="15" xfId="0" applyFont="1" applyFill="1" applyBorder="1"/>
    <xf numFmtId="0" fontId="19" fillId="3" borderId="8" xfId="0" applyFont="1" applyFill="1" applyBorder="1"/>
    <xf numFmtId="0" fontId="8" fillId="23" borderId="7" xfId="0" applyFont="1" applyFill="1" applyBorder="1"/>
    <xf numFmtId="0" fontId="8" fillId="22" borderId="8" xfId="0" applyFont="1" applyFill="1" applyBorder="1"/>
    <xf numFmtId="0" fontId="8" fillId="22" borderId="15" xfId="0" applyFont="1" applyFill="1" applyBorder="1"/>
    <xf numFmtId="0" fontId="19" fillId="20" borderId="8" xfId="0" applyFont="1" applyFill="1" applyBorder="1"/>
    <xf numFmtId="0" fontId="8" fillId="21" borderId="7" xfId="0" applyFont="1" applyFill="1" applyBorder="1"/>
    <xf numFmtId="0" fontId="8" fillId="26" borderId="8" xfId="0" applyFont="1" applyFill="1" applyBorder="1"/>
    <xf numFmtId="0" fontId="19" fillId="24" borderId="15" xfId="0" applyFont="1" applyFill="1" applyBorder="1"/>
    <xf numFmtId="0" fontId="8" fillId="11" borderId="8" xfId="0" applyFont="1" applyFill="1" applyBorder="1"/>
    <xf numFmtId="0" fontId="19" fillId="20" borderId="7" xfId="0" applyFont="1" applyFill="1" applyBorder="1"/>
    <xf numFmtId="0" fontId="8" fillId="26" borderId="11" xfId="0" applyFont="1" applyFill="1" applyBorder="1"/>
    <xf numFmtId="0" fontId="19" fillId="20" borderId="11" xfId="0" applyFont="1" applyFill="1" applyBorder="1"/>
    <xf numFmtId="0" fontId="19" fillId="29" borderId="11" xfId="0" applyFont="1" applyFill="1" applyBorder="1"/>
    <xf numFmtId="0" fontId="8" fillId="30" borderId="8" xfId="0" applyFont="1" applyFill="1" applyBorder="1"/>
    <xf numFmtId="0" fontId="16" fillId="38" borderId="11" xfId="0" applyFont="1" applyFill="1" applyBorder="1"/>
    <xf numFmtId="0" fontId="17" fillId="31" borderId="8" xfId="0" applyFont="1" applyFill="1" applyBorder="1"/>
    <xf numFmtId="0" fontId="16" fillId="13" borderId="7" xfId="0" applyFont="1" applyFill="1" applyBorder="1"/>
    <xf numFmtId="0" fontId="16" fillId="27" borderId="8" xfId="0" applyFont="1" applyFill="1" applyBorder="1"/>
    <xf numFmtId="0" fontId="8" fillId="12" borderId="8" xfId="0" applyFont="1" applyFill="1" applyBorder="1"/>
    <xf numFmtId="0" fontId="2" fillId="12" borderId="15" xfId="0" applyFont="1" applyFill="1" applyBorder="1"/>
    <xf numFmtId="0" fontId="16" fillId="13" borderId="8" xfId="0" applyFont="1" applyFill="1" applyBorder="1"/>
    <xf numFmtId="0" fontId="8" fillId="14" borderId="37" xfId="0" applyFont="1" applyFill="1" applyBorder="1"/>
    <xf numFmtId="0" fontId="8" fillId="14" borderId="38" xfId="0" applyFont="1" applyFill="1" applyBorder="1"/>
    <xf numFmtId="0" fontId="19" fillId="34" borderId="8" xfId="0" applyFont="1" applyFill="1" applyBorder="1"/>
    <xf numFmtId="0" fontId="19" fillId="34" borderId="11" xfId="0" applyFont="1" applyFill="1" applyBorder="1"/>
    <xf numFmtId="0" fontId="2" fillId="14" borderId="8" xfId="0" applyFont="1" applyFill="1" applyBorder="1"/>
    <xf numFmtId="0" fontId="8" fillId="23" borderId="11" xfId="0" applyFont="1" applyFill="1" applyBorder="1"/>
    <xf numFmtId="0" fontId="0" fillId="36" borderId="21" xfId="0" applyFill="1" applyBorder="1" applyAlignment="1">
      <alignment horizontal="center"/>
    </xf>
    <xf numFmtId="0" fontId="8" fillId="2" borderId="21" xfId="0" applyFont="1" applyFill="1" applyBorder="1" applyAlignment="1">
      <alignment horizontal="center"/>
    </xf>
    <xf numFmtId="0" fontId="8" fillId="12" borderId="21" xfId="0" applyFont="1" applyFill="1" applyBorder="1" applyAlignment="1">
      <alignment horizontal="center"/>
    </xf>
    <xf numFmtId="0" fontId="8" fillId="7" borderId="21" xfId="0" applyFont="1" applyFill="1" applyBorder="1" applyAlignment="1">
      <alignment horizontal="center"/>
    </xf>
    <xf numFmtId="0" fontId="8" fillId="7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8" fillId="23" borderId="21" xfId="0" applyFont="1" applyFill="1" applyBorder="1" applyAlignment="1">
      <alignment horizontal="center"/>
    </xf>
    <xf numFmtId="0" fontId="8" fillId="22" borderId="21" xfId="0" applyFont="1" applyFill="1" applyBorder="1" applyAlignment="1">
      <alignment horizontal="center"/>
    </xf>
    <xf numFmtId="0" fontId="8" fillId="20" borderId="21" xfId="0" applyFont="1" applyFill="1" applyBorder="1" applyAlignment="1">
      <alignment horizontal="center"/>
    </xf>
    <xf numFmtId="0" fontId="8" fillId="21" borderId="21" xfId="0" applyFont="1" applyFill="1" applyBorder="1" applyAlignment="1">
      <alignment horizontal="center"/>
    </xf>
    <xf numFmtId="0" fontId="8" fillId="26" borderId="21" xfId="0" applyFont="1" applyFill="1" applyBorder="1" applyAlignment="1">
      <alignment horizontal="center"/>
    </xf>
    <xf numFmtId="0" fontId="8" fillId="24" borderId="21" xfId="0" applyFont="1" applyFill="1" applyBorder="1" applyAlignment="1">
      <alignment horizontal="center"/>
    </xf>
    <xf numFmtId="0" fontId="8" fillId="11" borderId="21" xfId="0" applyFont="1" applyFill="1" applyBorder="1" applyAlignment="1">
      <alignment horizontal="center"/>
    </xf>
    <xf numFmtId="0" fontId="8" fillId="29" borderId="21" xfId="0" applyFont="1" applyFill="1" applyBorder="1" applyAlignment="1">
      <alignment horizontal="center"/>
    </xf>
    <xf numFmtId="0" fontId="8" fillId="30" borderId="21" xfId="0" applyFont="1" applyFill="1" applyBorder="1" applyAlignment="1">
      <alignment horizontal="center"/>
    </xf>
    <xf numFmtId="0" fontId="17" fillId="38" borderId="21" xfId="0" applyFont="1" applyFill="1" applyBorder="1" applyAlignment="1">
      <alignment horizontal="center"/>
    </xf>
    <xf numFmtId="0" fontId="17" fillId="31" borderId="21" xfId="0" applyFont="1" applyFill="1" applyBorder="1" applyAlignment="1">
      <alignment horizontal="center"/>
    </xf>
    <xf numFmtId="0" fontId="17" fillId="13" borderId="21" xfId="0" applyFont="1" applyFill="1" applyBorder="1" applyAlignment="1">
      <alignment horizontal="center"/>
    </xf>
    <xf numFmtId="0" fontId="17" fillId="27" borderId="21" xfId="0" applyFont="1" applyFill="1" applyBorder="1" applyAlignment="1">
      <alignment horizontal="center"/>
    </xf>
    <xf numFmtId="0" fontId="2" fillId="12" borderId="21" xfId="0" applyFont="1" applyFill="1" applyBorder="1" applyAlignment="1">
      <alignment horizontal="center"/>
    </xf>
    <xf numFmtId="0" fontId="8" fillId="34" borderId="21" xfId="0" applyFont="1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2" fillId="14" borderId="21" xfId="0" applyFont="1" applyFill="1" applyBorder="1" applyAlignment="1">
      <alignment horizontal="center"/>
    </xf>
    <xf numFmtId="0" fontId="16" fillId="13" borderId="21" xfId="0" applyFont="1" applyFill="1" applyBorder="1" applyAlignment="1">
      <alignment horizontal="center"/>
    </xf>
    <xf numFmtId="0" fontId="3" fillId="0" borderId="0" xfId="0" applyFont="1"/>
    <xf numFmtId="0" fontId="14" fillId="0" borderId="0" xfId="0" applyFont="1"/>
    <xf numFmtId="0" fontId="16" fillId="37" borderId="0" xfId="0" applyFont="1" applyFill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22" xfId="0" applyFont="1" applyBorder="1" applyAlignment="1">
      <alignment horizontal="center" wrapText="1"/>
    </xf>
    <xf numFmtId="0" fontId="13" fillId="36" borderId="14" xfId="0" applyFont="1" applyFill="1" applyBorder="1" applyAlignment="1">
      <alignment horizontal="left"/>
    </xf>
    <xf numFmtId="0" fontId="13" fillId="36" borderId="0" xfId="0" applyFont="1" applyFill="1" applyAlignment="1">
      <alignment horizontal="left"/>
    </xf>
    <xf numFmtId="0" fontId="13" fillId="36" borderId="32" xfId="0" applyFont="1" applyFill="1" applyBorder="1" applyAlignment="1">
      <alignment horizontal="left"/>
    </xf>
    <xf numFmtId="0" fontId="16" fillId="36" borderId="10" xfId="0" applyFont="1" applyFill="1" applyBorder="1" applyAlignment="1">
      <alignment horizontal="center" wrapText="1"/>
    </xf>
    <xf numFmtId="0" fontId="17" fillId="36" borderId="10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84F"/>
      <color rgb="FFF5E493"/>
      <color rgb="FFF93642"/>
      <color rgb="FFF5FACA"/>
      <color rgb="FFFF858E"/>
      <color rgb="FFD94E57"/>
      <color rgb="FF82517D"/>
      <color rgb="FFF3FFB0"/>
      <color rgb="FFEDF593"/>
      <color rgb="FFC24E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0</xdr:rowOff>
    </xdr:from>
    <xdr:to>
      <xdr:col>13</xdr:col>
      <xdr:colOff>546100</xdr:colOff>
      <xdr:row>10</xdr:row>
      <xdr:rowOff>101599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86C02F6-309D-5B42-8427-B95227178A5E}"/>
            </a:ext>
          </a:extLst>
        </xdr:cNvPr>
        <xdr:cNvSpPr txBox="1"/>
      </xdr:nvSpPr>
      <xdr:spPr>
        <a:xfrm>
          <a:off x="28879800" y="647700"/>
          <a:ext cx="3454400" cy="18287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tumor classification (node) exists in the CNS5/Pediatric WHO bluebook. The framework is built from the CNS5 since it incorporates adult-like classifications as well.</a:t>
          </a: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tumor classification (node) exists in the CNS5/Pediatric WHO book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285393</xdr:colOff>
      <xdr:row>1</xdr:row>
      <xdr:rowOff>0</xdr:rowOff>
    </xdr:from>
    <xdr:to>
      <xdr:col>12</xdr:col>
      <xdr:colOff>542247</xdr:colOff>
      <xdr:row>11</xdr:row>
      <xdr:rowOff>57080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7FBDB63-256F-4012-9CF4-47CFD34C0973}"/>
            </a:ext>
          </a:extLst>
        </xdr:cNvPr>
        <xdr:cNvSpPr txBox="1"/>
      </xdr:nvSpPr>
      <xdr:spPr>
        <a:xfrm>
          <a:off x="23559213" y="214045"/>
          <a:ext cx="2939551" cy="206910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F* in ColI = the classification (node) is not listed in the Pediatric WHO bluebook but does exist in other</a:t>
          </a:r>
          <a:r>
            <a:rPr lang="en-US" sz="1100" b="0" i="0" u="none" strike="noStrike" baseline="0">
              <a:solidFill>
                <a:srgbClr val="FF0000"/>
              </a:solidFill>
              <a:latin typeface="Aptos Narrow" panose="020B0004020202020204" pitchFamily="34" charset="0"/>
            </a:rPr>
            <a:t> WHO</a:t>
          </a: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 bluebook(s) or node name does not exactly match what's written in WHO</a:t>
          </a:r>
          <a:b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</a:b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classification (node) is not listed in the WHO bluebooks</a:t>
          </a:r>
          <a:b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</a:b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classification (node) is listed in the Pediatric WHO bluebook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711200</xdr:colOff>
      <xdr:row>0</xdr:row>
      <xdr:rowOff>212725</xdr:rowOff>
    </xdr:from>
    <xdr:to>
      <xdr:col>13</xdr:col>
      <xdr:colOff>482600</xdr:colOff>
      <xdr:row>10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FE3F342-3EA4-4403-96A4-7B167CB8696B}"/>
            </a:ext>
          </a:extLst>
        </xdr:cNvPr>
        <xdr:cNvSpPr txBox="1"/>
      </xdr:nvSpPr>
      <xdr:spPr>
        <a:xfrm>
          <a:off x="29248100" y="212725"/>
          <a:ext cx="3124200" cy="214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T* in ColI = the classification (node) exists in the Heme5 book, but it is mentioned as a subtype OR is related to a similar tumor classification.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classification (node) is listed in the Pediatric WHO</a:t>
          </a: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classification (node) is not listed in the WHO Blue Books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B9E9-305F-5447-A75C-066C09F66BFC}">
  <sheetPr codeName="Sheet1"/>
  <dimension ref="F1"/>
  <sheetViews>
    <sheetView workbookViewId="0">
      <selection sqref="A1:XFD1048576"/>
    </sheetView>
  </sheetViews>
  <sheetFormatPr defaultColWidth="11" defaultRowHeight="15.95"/>
  <cols>
    <col min="1" max="1" width="81.5" bestFit="1" customWidth="1"/>
    <col min="2" max="2" width="17.875" bestFit="1" customWidth="1"/>
    <col min="3" max="3" width="50.875" bestFit="1" customWidth="1"/>
    <col min="4" max="4" width="18.875" bestFit="1" customWidth="1"/>
    <col min="5" max="5" width="9.5" bestFit="1" customWidth="1"/>
  </cols>
  <sheetData>
    <row r="1" spans="6:6" s="677" customFormat="1">
      <c r="F1" s="678"/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0D2A4-342F-401D-BB2A-B8D7301E02DC}">
  <sheetPr codeName="Sheet2"/>
  <dimension ref="A1:G27"/>
  <sheetViews>
    <sheetView workbookViewId="0">
      <selection activeCell="G1" sqref="G1"/>
    </sheetView>
  </sheetViews>
  <sheetFormatPr defaultColWidth="8.875" defaultRowHeight="15.95"/>
  <cols>
    <col min="2" max="2" width="14.5" customWidth="1"/>
    <col min="3" max="3" width="14.625" customWidth="1"/>
    <col min="4" max="4" width="28.375" customWidth="1"/>
    <col min="5" max="5" width="47" customWidth="1"/>
    <col min="6" max="6" width="52" customWidth="1"/>
    <col min="7" max="7" width="14.875" customWidth="1"/>
  </cols>
  <sheetData>
    <row r="1" spans="1:7">
      <c r="A1" s="680" t="s">
        <v>0</v>
      </c>
      <c r="B1" s="681"/>
      <c r="C1" s="681"/>
      <c r="D1" s="681"/>
      <c r="E1" s="682"/>
      <c r="F1" s="370" t="s">
        <v>1</v>
      </c>
      <c r="G1" s="371" t="s">
        <v>2</v>
      </c>
    </row>
    <row r="2" spans="1:7">
      <c r="A2" s="683" t="s">
        <v>3</v>
      </c>
      <c r="B2" s="684"/>
      <c r="C2" s="684"/>
      <c r="D2" s="684"/>
      <c r="E2" s="685"/>
      <c r="F2" s="368" t="str">
        <f>A2</f>
        <v>Sample</v>
      </c>
      <c r="G2" s="369" t="s">
        <v>4</v>
      </c>
    </row>
    <row r="3" spans="1:7">
      <c r="A3" s="362" t="s">
        <v>5</v>
      </c>
      <c r="B3" s="384" t="s">
        <v>6</v>
      </c>
      <c r="C3" s="360"/>
      <c r="D3" s="360"/>
      <c r="E3" s="360"/>
      <c r="F3" s="368" t="str">
        <f>B3</f>
        <v>Disease</v>
      </c>
      <c r="G3" s="369" t="s">
        <v>7</v>
      </c>
    </row>
    <row r="4" spans="1:7">
      <c r="A4" s="364"/>
      <c r="B4" s="358" t="s">
        <v>5</v>
      </c>
      <c r="C4" s="384" t="s">
        <v>8</v>
      </c>
      <c r="D4" s="360"/>
      <c r="E4" s="360"/>
      <c r="F4" s="368" t="str">
        <f>C4</f>
        <v>Cancer</v>
      </c>
      <c r="G4" s="369" t="s">
        <v>9</v>
      </c>
    </row>
    <row r="5" spans="1:7">
      <c r="A5" s="364"/>
      <c r="B5" s="360"/>
      <c r="C5" s="358" t="s">
        <v>5</v>
      </c>
      <c r="D5" s="360" t="s">
        <v>10</v>
      </c>
      <c r="E5" s="360"/>
      <c r="F5" s="368" t="str">
        <f>D5</f>
        <v>Hematologic Malignancy</v>
      </c>
      <c r="G5" s="368" t="s">
        <v>11</v>
      </c>
    </row>
    <row r="6" spans="1:7">
      <c r="A6" s="364"/>
      <c r="B6" s="360"/>
      <c r="C6" s="358" t="s">
        <v>5</v>
      </c>
      <c r="D6" s="360" t="s">
        <v>12</v>
      </c>
      <c r="E6" s="360"/>
      <c r="F6" s="368" t="str">
        <f>D6</f>
        <v>Solid tumor</v>
      </c>
      <c r="G6" s="368" t="s">
        <v>13</v>
      </c>
    </row>
    <row r="7" spans="1:7">
      <c r="A7" s="365"/>
      <c r="B7" s="366"/>
      <c r="C7" s="367" t="s">
        <v>5</v>
      </c>
      <c r="D7" s="366" t="s">
        <v>14</v>
      </c>
      <c r="E7" s="366"/>
      <c r="F7" s="368" t="str">
        <f>D7</f>
        <v>Brain Tumor</v>
      </c>
      <c r="G7" s="368" t="s">
        <v>15</v>
      </c>
    </row>
    <row r="8" spans="1:7">
      <c r="A8" s="372"/>
      <c r="B8" s="372"/>
      <c r="C8" s="373"/>
      <c r="D8" s="372"/>
      <c r="E8" s="372"/>
      <c r="F8" s="372"/>
      <c r="G8" s="372"/>
    </row>
    <row r="9" spans="1:7">
      <c r="A9" s="680" t="s">
        <v>16</v>
      </c>
      <c r="B9" s="681"/>
      <c r="C9" s="681"/>
      <c r="D9" s="681"/>
      <c r="E9" s="681"/>
      <c r="F9" s="386" t="s">
        <v>1</v>
      </c>
      <c r="G9" s="374" t="s">
        <v>2</v>
      </c>
    </row>
    <row r="10" spans="1:7">
      <c r="A10" s="375"/>
      <c r="B10" s="376"/>
      <c r="C10" s="385" t="s">
        <v>17</v>
      </c>
      <c r="D10" s="376"/>
      <c r="E10" s="378"/>
      <c r="F10" s="387" t="str">
        <f>C10</f>
        <v>Non-cancer</v>
      </c>
      <c r="G10" s="369" t="s">
        <v>18</v>
      </c>
    </row>
    <row r="11" spans="1:7">
      <c r="A11" s="364"/>
      <c r="B11" s="360"/>
      <c r="C11" s="358" t="s">
        <v>5</v>
      </c>
      <c r="D11" s="360" t="s">
        <v>19</v>
      </c>
      <c r="E11" s="363"/>
      <c r="F11" s="382" t="str">
        <f>D11</f>
        <v>Bone Marrow Failure Syndrome</v>
      </c>
      <c r="G11" s="388" t="s">
        <v>20</v>
      </c>
    </row>
    <row r="12" spans="1:7">
      <c r="A12" s="364"/>
      <c r="B12" s="360"/>
      <c r="C12" s="358" t="s">
        <v>5</v>
      </c>
      <c r="D12" s="360" t="s">
        <v>21</v>
      </c>
      <c r="E12" s="363"/>
      <c r="F12" s="382" t="str">
        <f>D12</f>
        <v>Non-malignancy</v>
      </c>
      <c r="G12" s="368" t="s">
        <v>22</v>
      </c>
    </row>
    <row r="13" spans="1:7">
      <c r="A13" s="364"/>
      <c r="B13" s="360"/>
      <c r="C13" s="358" t="s">
        <v>5</v>
      </c>
      <c r="D13" s="360" t="s">
        <v>23</v>
      </c>
      <c r="E13" s="363"/>
      <c r="F13" s="382" t="str">
        <f>D13</f>
        <v>Sickle Cell Disease</v>
      </c>
      <c r="G13" s="368" t="s">
        <v>24</v>
      </c>
    </row>
    <row r="14" spans="1:7">
      <c r="A14" s="364"/>
      <c r="B14" s="360"/>
      <c r="C14" s="358" t="s">
        <v>5</v>
      </c>
      <c r="D14" s="360" t="s">
        <v>25</v>
      </c>
      <c r="E14" s="363"/>
      <c r="F14" s="383" t="s">
        <v>25</v>
      </c>
      <c r="G14" s="369" t="s">
        <v>26</v>
      </c>
    </row>
    <row r="15" spans="1:7">
      <c r="A15" s="364"/>
      <c r="B15" s="360"/>
      <c r="C15" s="359"/>
      <c r="D15" s="361" t="s">
        <v>5</v>
      </c>
      <c r="E15" s="379" t="s">
        <v>27</v>
      </c>
      <c r="F15" s="383" t="s">
        <v>27</v>
      </c>
      <c r="G15" s="369" t="s">
        <v>28</v>
      </c>
    </row>
    <row r="16" spans="1:7">
      <c r="A16" s="364"/>
      <c r="B16" s="360"/>
      <c r="C16" s="359"/>
      <c r="D16" s="361" t="s">
        <v>5</v>
      </c>
      <c r="E16" s="379" t="s">
        <v>29</v>
      </c>
      <c r="F16" s="383" t="s">
        <v>29</v>
      </c>
      <c r="G16" s="369" t="s">
        <v>30</v>
      </c>
    </row>
    <row r="17" spans="1:7">
      <c r="A17" s="364"/>
      <c r="B17" s="360"/>
      <c r="C17" s="359"/>
      <c r="D17" s="361" t="s">
        <v>5</v>
      </c>
      <c r="E17" s="379" t="s">
        <v>31</v>
      </c>
      <c r="F17" s="383" t="s">
        <v>31</v>
      </c>
      <c r="G17" s="369" t="s">
        <v>32</v>
      </c>
    </row>
    <row r="18" spans="1:7">
      <c r="A18" s="364"/>
      <c r="B18" s="360"/>
      <c r="C18" s="359"/>
      <c r="D18" s="361" t="s">
        <v>5</v>
      </c>
      <c r="E18" s="379" t="s">
        <v>33</v>
      </c>
      <c r="F18" s="383" t="s">
        <v>33</v>
      </c>
      <c r="G18" s="369" t="s">
        <v>34</v>
      </c>
    </row>
    <row r="19" spans="1:7">
      <c r="A19" s="364"/>
      <c r="B19" s="360"/>
      <c r="C19" s="359"/>
      <c r="D19" s="361" t="s">
        <v>5</v>
      </c>
      <c r="E19" s="379" t="s">
        <v>35</v>
      </c>
      <c r="F19" s="383" t="s">
        <v>35</v>
      </c>
      <c r="G19" s="369" t="s">
        <v>36</v>
      </c>
    </row>
    <row r="20" spans="1:7">
      <c r="A20" s="364"/>
      <c r="B20" s="360"/>
      <c r="C20" s="359"/>
      <c r="D20" s="361" t="s">
        <v>5</v>
      </c>
      <c r="E20" s="379" t="s">
        <v>37</v>
      </c>
      <c r="F20" s="383" t="s">
        <v>37</v>
      </c>
      <c r="G20" s="369" t="s">
        <v>38</v>
      </c>
    </row>
    <row r="21" spans="1:7">
      <c r="A21" s="364"/>
      <c r="B21" s="360"/>
      <c r="C21" s="359"/>
      <c r="D21" s="361" t="s">
        <v>5</v>
      </c>
      <c r="E21" s="379" t="s">
        <v>39</v>
      </c>
      <c r="F21" s="383" t="s">
        <v>39</v>
      </c>
      <c r="G21" s="369" t="s">
        <v>40</v>
      </c>
    </row>
    <row r="22" spans="1:7">
      <c r="A22" s="364"/>
      <c r="B22" s="360"/>
      <c r="C22" s="359" t="s">
        <v>41</v>
      </c>
      <c r="D22" s="361" t="s">
        <v>5</v>
      </c>
      <c r="E22" s="379" t="s">
        <v>42</v>
      </c>
      <c r="F22" s="383" t="s">
        <v>42</v>
      </c>
      <c r="G22" s="369" t="s">
        <v>43</v>
      </c>
    </row>
    <row r="23" spans="1:7">
      <c r="A23" s="364"/>
      <c r="B23" s="360"/>
      <c r="C23" s="359" t="s">
        <v>41</v>
      </c>
      <c r="D23" s="361" t="s">
        <v>5</v>
      </c>
      <c r="E23" s="379" t="s">
        <v>44</v>
      </c>
      <c r="F23" s="383" t="s">
        <v>44</v>
      </c>
      <c r="G23" s="369" t="s">
        <v>45</v>
      </c>
    </row>
    <row r="24" spans="1:7">
      <c r="A24" s="364"/>
      <c r="B24" s="360"/>
      <c r="C24" s="359" t="s">
        <v>41</v>
      </c>
      <c r="D24" s="361" t="s">
        <v>5</v>
      </c>
      <c r="E24" s="379" t="s">
        <v>46</v>
      </c>
      <c r="F24" s="383" t="s">
        <v>46</v>
      </c>
      <c r="G24" s="369" t="s">
        <v>47</v>
      </c>
    </row>
    <row r="25" spans="1:7">
      <c r="A25" s="389" t="s">
        <v>5</v>
      </c>
      <c r="B25" s="385" t="s">
        <v>48</v>
      </c>
      <c r="C25" s="377"/>
      <c r="D25" s="377"/>
      <c r="E25" s="390"/>
      <c r="F25" s="382" t="str">
        <f>B25</f>
        <v>Normal</v>
      </c>
      <c r="G25" s="369" t="s">
        <v>49</v>
      </c>
    </row>
    <row r="26" spans="1:7">
      <c r="A26" s="391"/>
      <c r="B26" s="367" t="s">
        <v>5</v>
      </c>
      <c r="C26" s="392" t="s">
        <v>50</v>
      </c>
      <c r="D26" s="380"/>
      <c r="E26" s="381"/>
      <c r="F26" s="382" t="str">
        <f>C26</f>
        <v>Control Sample</v>
      </c>
      <c r="G26" s="368" t="s">
        <v>51</v>
      </c>
    </row>
    <row r="27" spans="1:7">
      <c r="A27" s="18"/>
      <c r="B27" s="18"/>
      <c r="C27" s="18"/>
      <c r="D27" s="18"/>
      <c r="E27" s="18"/>
      <c r="F27" s="18"/>
      <c r="G27" s="18"/>
    </row>
  </sheetData>
  <mergeCells count="3">
    <mergeCell ref="A1:E1"/>
    <mergeCell ref="A2:E2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86F5D-B02B-474A-9AB5-1019D83BF169}">
  <dimension ref="A1:J104"/>
  <sheetViews>
    <sheetView topLeftCell="C9" workbookViewId="0">
      <selection activeCell="G37" sqref="G37"/>
    </sheetView>
  </sheetViews>
  <sheetFormatPr defaultColWidth="11" defaultRowHeight="15.95"/>
  <cols>
    <col min="1" max="1" width="11.375" bestFit="1" customWidth="1"/>
    <col min="2" max="2" width="52.625" bestFit="1" customWidth="1"/>
    <col min="3" max="3" width="56.875" bestFit="1" customWidth="1"/>
    <col min="4" max="4" width="64.625" bestFit="1" customWidth="1"/>
    <col min="5" max="5" width="52.5" bestFit="1" customWidth="1"/>
    <col min="6" max="6" width="64.625" bestFit="1" customWidth="1"/>
    <col min="7" max="7" width="16.875" bestFit="1" customWidth="1"/>
    <col min="8" max="8" width="43.875" bestFit="1" customWidth="1"/>
    <col min="9" max="9" width="10.5" bestFit="1" customWidth="1"/>
  </cols>
  <sheetData>
    <row r="1" spans="1:9" ht="17.100000000000001">
      <c r="A1" s="679" t="s">
        <v>52</v>
      </c>
      <c r="B1" s="679"/>
      <c r="C1" s="679"/>
      <c r="D1" s="679"/>
      <c r="E1" s="23"/>
      <c r="F1" s="24" t="s">
        <v>53</v>
      </c>
      <c r="G1" s="24" t="s">
        <v>54</v>
      </c>
      <c r="H1" s="223" t="s">
        <v>55</v>
      </c>
      <c r="I1" s="235" t="s">
        <v>56</v>
      </c>
    </row>
    <row r="2" spans="1:9" ht="17.100000000000001" thickBot="1">
      <c r="A2" s="21" t="s">
        <v>14</v>
      </c>
      <c r="B2" s="22"/>
      <c r="C2" s="22"/>
      <c r="D2" s="21"/>
      <c r="E2" s="21"/>
      <c r="F2" s="21" t="s">
        <v>14</v>
      </c>
      <c r="G2" s="21" t="s">
        <v>15</v>
      </c>
      <c r="H2" s="44" t="s">
        <v>57</v>
      </c>
      <c r="I2" s="302"/>
    </row>
    <row r="3" spans="1:9" ht="17.100000000000001" thickBot="1">
      <c r="A3" s="2" t="s">
        <v>5</v>
      </c>
      <c r="B3" s="154" t="s">
        <v>58</v>
      </c>
      <c r="C3" s="155"/>
      <c r="D3" s="155"/>
      <c r="E3" s="155"/>
      <c r="F3" s="195" t="s">
        <v>58</v>
      </c>
      <c r="G3" s="155" t="s">
        <v>59</v>
      </c>
      <c r="H3" s="61" t="s">
        <v>57</v>
      </c>
      <c r="I3" s="239" t="s">
        <v>60</v>
      </c>
    </row>
    <row r="4" spans="1:9" ht="17.100000000000001" thickBot="1">
      <c r="A4" s="2"/>
      <c r="B4" s="60" t="s">
        <v>5</v>
      </c>
      <c r="C4" s="59" t="s">
        <v>61</v>
      </c>
      <c r="D4" s="59"/>
      <c r="E4" s="59"/>
      <c r="F4" s="216" t="s">
        <v>61</v>
      </c>
      <c r="G4" s="153" t="s">
        <v>62</v>
      </c>
      <c r="H4" s="4" t="s">
        <v>63</v>
      </c>
      <c r="I4" s="240" t="s">
        <v>64</v>
      </c>
    </row>
    <row r="5" spans="1:9" ht="17.100000000000001" thickBot="1">
      <c r="A5" s="2"/>
      <c r="B5" s="57" t="s">
        <v>5</v>
      </c>
      <c r="C5" s="56" t="s">
        <v>65</v>
      </c>
      <c r="D5" s="56"/>
      <c r="E5" s="56"/>
      <c r="F5" s="194" t="s">
        <v>65</v>
      </c>
      <c r="G5" s="3" t="s">
        <v>66</v>
      </c>
      <c r="H5" s="17" t="s">
        <v>63</v>
      </c>
      <c r="I5" s="240" t="s">
        <v>64</v>
      </c>
    </row>
    <row r="6" spans="1:9" ht="17.100000000000001" thickBot="1">
      <c r="A6" s="1"/>
      <c r="B6" s="86" t="s">
        <v>5</v>
      </c>
      <c r="C6" s="219" t="s">
        <v>67</v>
      </c>
      <c r="D6" s="83"/>
      <c r="E6" s="83"/>
      <c r="F6" s="196" t="s">
        <v>67</v>
      </c>
      <c r="G6" s="70" t="s">
        <v>68</v>
      </c>
      <c r="H6" s="224" t="s">
        <v>57</v>
      </c>
      <c r="I6" s="238" t="s">
        <v>60</v>
      </c>
    </row>
    <row r="7" spans="1:9" ht="17.100000000000001" thickBot="1">
      <c r="A7" s="1"/>
      <c r="B7" s="58"/>
      <c r="C7" s="158" t="s">
        <v>5</v>
      </c>
      <c r="D7" s="59" t="s">
        <v>69</v>
      </c>
      <c r="E7" s="59"/>
      <c r="F7" s="192" t="s">
        <v>69</v>
      </c>
      <c r="G7" s="3" t="s">
        <v>70</v>
      </c>
      <c r="H7" s="357" t="s">
        <v>71</v>
      </c>
      <c r="I7" s="240" t="s">
        <v>60</v>
      </c>
    </row>
    <row r="8" spans="1:9" ht="17.100000000000001" thickBot="1">
      <c r="A8" s="1"/>
      <c r="B8" s="148"/>
      <c r="C8" s="62" t="s">
        <v>5</v>
      </c>
      <c r="D8" s="53" t="s">
        <v>72</v>
      </c>
      <c r="E8" s="53"/>
      <c r="F8" s="193" t="s">
        <v>72</v>
      </c>
      <c r="G8" s="3" t="s">
        <v>73</v>
      </c>
      <c r="H8" s="17" t="s">
        <v>74</v>
      </c>
      <c r="I8" s="240" t="s">
        <v>60</v>
      </c>
    </row>
    <row r="9" spans="1:9" ht="17.100000000000001" thickBot="1">
      <c r="A9" s="1"/>
      <c r="B9" s="149"/>
      <c r="C9" s="150" t="s">
        <v>5</v>
      </c>
      <c r="D9" s="151" t="s">
        <v>75</v>
      </c>
      <c r="E9" s="151"/>
      <c r="F9" s="194" t="s">
        <v>75</v>
      </c>
      <c r="G9" s="3" t="s">
        <v>76</v>
      </c>
      <c r="H9" s="357" t="s">
        <v>71</v>
      </c>
      <c r="I9" s="240" t="s">
        <v>60</v>
      </c>
    </row>
    <row r="10" spans="1:9" ht="17.100000000000001" thickBot="1">
      <c r="A10" s="1"/>
      <c r="B10" s="86" t="s">
        <v>5</v>
      </c>
      <c r="C10" s="219" t="s">
        <v>77</v>
      </c>
      <c r="D10" s="83"/>
      <c r="E10" s="83"/>
      <c r="F10" s="197" t="s">
        <v>77</v>
      </c>
      <c r="G10" s="70" t="s">
        <v>78</v>
      </c>
      <c r="H10" s="224" t="s">
        <v>57</v>
      </c>
      <c r="I10" s="238" t="s">
        <v>60</v>
      </c>
    </row>
    <row r="11" spans="1:9" ht="17.100000000000001" thickBot="1">
      <c r="A11" s="1"/>
      <c r="B11" s="60"/>
      <c r="C11" s="158" t="s">
        <v>5</v>
      </c>
      <c r="D11" s="59" t="s">
        <v>79</v>
      </c>
      <c r="E11" s="59"/>
      <c r="F11" s="193" t="s">
        <v>79</v>
      </c>
      <c r="G11" s="3" t="s">
        <v>80</v>
      </c>
      <c r="H11" s="17" t="s">
        <v>81</v>
      </c>
      <c r="I11" s="240" t="s">
        <v>64</v>
      </c>
    </row>
    <row r="12" spans="1:9" ht="17.100000000000001" thickBot="1">
      <c r="A12" s="1"/>
      <c r="B12" s="146"/>
      <c r="C12" s="62" t="s">
        <v>5</v>
      </c>
      <c r="D12" s="53" t="s">
        <v>82</v>
      </c>
      <c r="E12" s="53"/>
      <c r="F12" s="193" t="s">
        <v>82</v>
      </c>
      <c r="G12" s="3" t="s">
        <v>83</v>
      </c>
      <c r="H12" s="17" t="s">
        <v>81</v>
      </c>
      <c r="I12" s="240" t="s">
        <v>64</v>
      </c>
    </row>
    <row r="13" spans="1:9" ht="17.100000000000001" thickBot="1">
      <c r="A13" s="1"/>
      <c r="B13" s="148"/>
      <c r="C13" s="62" t="s">
        <v>5</v>
      </c>
      <c r="D13" s="53" t="s">
        <v>84</v>
      </c>
      <c r="E13" s="53"/>
      <c r="F13" s="193" t="s">
        <v>84</v>
      </c>
      <c r="G13" s="3" t="s">
        <v>85</v>
      </c>
      <c r="H13" s="17" t="s">
        <v>81</v>
      </c>
      <c r="I13" s="240" t="s">
        <v>60</v>
      </c>
    </row>
    <row r="14" spans="1:9" ht="17.100000000000001" thickBot="1">
      <c r="A14" s="1"/>
      <c r="B14" s="148"/>
      <c r="C14" s="62" t="s">
        <v>5</v>
      </c>
      <c r="D14" s="53" t="s">
        <v>86</v>
      </c>
      <c r="E14" s="53"/>
      <c r="F14" s="193" t="s">
        <v>86</v>
      </c>
      <c r="G14" s="3" t="s">
        <v>87</v>
      </c>
      <c r="H14" s="17" t="s">
        <v>81</v>
      </c>
      <c r="I14" s="240" t="s">
        <v>60</v>
      </c>
    </row>
    <row r="15" spans="1:9" ht="17.100000000000001" thickBot="1">
      <c r="A15" s="1"/>
      <c r="B15" s="148"/>
      <c r="C15" s="62" t="s">
        <v>5</v>
      </c>
      <c r="D15" s="53" t="s">
        <v>88</v>
      </c>
      <c r="E15" s="53"/>
      <c r="F15" s="193" t="s">
        <v>88</v>
      </c>
      <c r="G15" s="3" t="s">
        <v>89</v>
      </c>
      <c r="H15" s="17" t="s">
        <v>81</v>
      </c>
      <c r="I15" s="240" t="s">
        <v>60</v>
      </c>
    </row>
    <row r="16" spans="1:9" ht="17.100000000000001" thickBot="1">
      <c r="A16" s="1"/>
      <c r="B16" s="149"/>
      <c r="C16" s="150" t="s">
        <v>5</v>
      </c>
      <c r="D16" s="151" t="s">
        <v>90</v>
      </c>
      <c r="E16" s="151"/>
      <c r="F16" s="193" t="s">
        <v>90</v>
      </c>
      <c r="G16" s="3" t="s">
        <v>91</v>
      </c>
      <c r="H16" s="17" t="s">
        <v>81</v>
      </c>
      <c r="I16" s="240" t="s">
        <v>60</v>
      </c>
    </row>
    <row r="17" spans="1:9" ht="17.100000000000001" thickBot="1">
      <c r="A17" s="1"/>
      <c r="B17" s="86" t="s">
        <v>5</v>
      </c>
      <c r="C17" s="219" t="s">
        <v>92</v>
      </c>
      <c r="D17" s="83"/>
      <c r="E17" s="83"/>
      <c r="F17" s="118" t="s">
        <v>92</v>
      </c>
      <c r="G17" s="70" t="s">
        <v>93</v>
      </c>
      <c r="H17" s="224" t="s">
        <v>57</v>
      </c>
      <c r="I17" s="238" t="s">
        <v>60</v>
      </c>
    </row>
    <row r="18" spans="1:9" ht="17.100000000000001" thickBot="1">
      <c r="A18" s="1"/>
      <c r="B18" s="60"/>
      <c r="C18" s="158" t="s">
        <v>5</v>
      </c>
      <c r="D18" s="59" t="s">
        <v>94</v>
      </c>
      <c r="E18" s="59"/>
      <c r="F18" s="193" t="s">
        <v>94</v>
      </c>
      <c r="G18" s="3" t="s">
        <v>95</v>
      </c>
      <c r="H18" s="17" t="s">
        <v>74</v>
      </c>
      <c r="I18" s="240" t="s">
        <v>64</v>
      </c>
    </row>
    <row r="19" spans="1:9" ht="17.100000000000001" thickBot="1">
      <c r="A19" s="1"/>
      <c r="B19" s="146"/>
      <c r="C19" s="62" t="s">
        <v>5</v>
      </c>
      <c r="D19" s="53" t="s">
        <v>96</v>
      </c>
      <c r="E19" s="53"/>
      <c r="F19" s="193" t="s">
        <v>96</v>
      </c>
      <c r="G19" s="3" t="s">
        <v>97</v>
      </c>
      <c r="H19" s="17" t="s">
        <v>74</v>
      </c>
      <c r="I19" s="240" t="s">
        <v>64</v>
      </c>
    </row>
    <row r="20" spans="1:9" ht="17.100000000000001" thickBot="1">
      <c r="A20" s="1"/>
      <c r="B20" s="148"/>
      <c r="C20" s="62" t="s">
        <v>5</v>
      </c>
      <c r="D20" s="53" t="s">
        <v>98</v>
      </c>
      <c r="E20" s="53"/>
      <c r="F20" s="193" t="s">
        <v>98</v>
      </c>
      <c r="G20" s="3" t="s">
        <v>99</v>
      </c>
      <c r="H20" s="17" t="s">
        <v>74</v>
      </c>
      <c r="I20" s="240" t="s">
        <v>60</v>
      </c>
    </row>
    <row r="21" spans="1:9" ht="17.100000000000001" thickBot="1">
      <c r="A21" s="1"/>
      <c r="B21" s="148"/>
      <c r="C21" s="62" t="s">
        <v>5</v>
      </c>
      <c r="D21" s="53" t="s">
        <v>100</v>
      </c>
      <c r="E21" s="53"/>
      <c r="F21" s="193" t="s">
        <v>100</v>
      </c>
      <c r="G21" s="3" t="s">
        <v>101</v>
      </c>
      <c r="H21" s="17" t="s">
        <v>74</v>
      </c>
      <c r="I21" s="240" t="s">
        <v>60</v>
      </c>
    </row>
    <row r="22" spans="1:9" ht="17.100000000000001" thickBot="1">
      <c r="A22" s="1"/>
      <c r="B22" s="148"/>
      <c r="C22" s="62" t="s">
        <v>5</v>
      </c>
      <c r="D22" s="53" t="s">
        <v>102</v>
      </c>
      <c r="E22" s="53"/>
      <c r="F22" s="193" t="s">
        <v>102</v>
      </c>
      <c r="G22" s="3" t="s">
        <v>103</v>
      </c>
      <c r="H22" s="17" t="s">
        <v>74</v>
      </c>
      <c r="I22" s="240" t="s">
        <v>60</v>
      </c>
    </row>
    <row r="23" spans="1:9" ht="17.100000000000001" thickBot="1">
      <c r="A23" s="1"/>
      <c r="B23" s="149"/>
      <c r="C23" s="150" t="s">
        <v>5</v>
      </c>
      <c r="D23" s="151" t="s">
        <v>104</v>
      </c>
      <c r="E23" s="151"/>
      <c r="F23" s="193" t="s">
        <v>104</v>
      </c>
      <c r="G23" s="3" t="s">
        <v>105</v>
      </c>
      <c r="H23" s="17" t="s">
        <v>74</v>
      </c>
      <c r="I23" s="240" t="s">
        <v>60</v>
      </c>
    </row>
    <row r="24" spans="1:9" ht="17.100000000000001" thickBot="1">
      <c r="A24" s="1"/>
      <c r="B24" s="86" t="s">
        <v>5</v>
      </c>
      <c r="C24" s="219" t="s">
        <v>106</v>
      </c>
      <c r="D24" s="83"/>
      <c r="E24" s="83"/>
      <c r="F24" s="118" t="s">
        <v>106</v>
      </c>
      <c r="G24" s="70" t="s">
        <v>107</v>
      </c>
      <c r="H24" s="224" t="s">
        <v>57</v>
      </c>
      <c r="I24" s="238" t="s">
        <v>60</v>
      </c>
    </row>
    <row r="25" spans="1:9" ht="17.100000000000001" thickBot="1">
      <c r="A25" s="1"/>
      <c r="B25" s="60"/>
      <c r="C25" s="158" t="s">
        <v>5</v>
      </c>
      <c r="D25" s="59" t="s">
        <v>108</v>
      </c>
      <c r="E25" s="59"/>
      <c r="F25" s="193" t="s">
        <v>108</v>
      </c>
      <c r="G25" s="147" t="s">
        <v>109</v>
      </c>
      <c r="H25" s="357" t="s">
        <v>71</v>
      </c>
      <c r="I25" s="240" t="s">
        <v>64</v>
      </c>
    </row>
    <row r="26" spans="1:9" ht="17.100000000000001" thickBot="1">
      <c r="A26" s="1"/>
      <c r="B26" s="148"/>
      <c r="C26" s="62" t="s">
        <v>5</v>
      </c>
      <c r="D26" s="53" t="s">
        <v>110</v>
      </c>
      <c r="E26" s="53"/>
      <c r="F26" s="193" t="s">
        <v>110</v>
      </c>
      <c r="G26" s="147" t="s">
        <v>111</v>
      </c>
      <c r="H26" s="17" t="s">
        <v>74</v>
      </c>
      <c r="I26" s="240" t="s">
        <v>60</v>
      </c>
    </row>
    <row r="27" spans="1:9" ht="17.100000000000001" thickBot="1">
      <c r="A27" s="1"/>
      <c r="B27" s="148"/>
      <c r="C27" s="62" t="s">
        <v>5</v>
      </c>
      <c r="D27" s="53" t="s">
        <v>112</v>
      </c>
      <c r="E27" s="53"/>
      <c r="F27" s="193" t="s">
        <v>112</v>
      </c>
      <c r="G27" s="147" t="s">
        <v>113</v>
      </c>
      <c r="H27" s="357" t="s">
        <v>71</v>
      </c>
      <c r="I27" s="240" t="s">
        <v>60</v>
      </c>
    </row>
    <row r="28" spans="1:9" ht="17.100000000000001" thickBot="1">
      <c r="A28" s="1"/>
      <c r="B28" s="148"/>
      <c r="C28" s="62" t="s">
        <v>5</v>
      </c>
      <c r="D28" s="53" t="s">
        <v>114</v>
      </c>
      <c r="E28" s="53"/>
      <c r="F28" s="193" t="s">
        <v>114</v>
      </c>
      <c r="G28" s="147" t="s">
        <v>115</v>
      </c>
      <c r="H28" s="357" t="s">
        <v>71</v>
      </c>
      <c r="I28" s="240" t="s">
        <v>60</v>
      </c>
    </row>
    <row r="29" spans="1:9" ht="17.100000000000001" thickBot="1">
      <c r="A29" s="1"/>
      <c r="B29" s="148"/>
      <c r="C29" s="62" t="s">
        <v>5</v>
      </c>
      <c r="D29" s="53" t="s">
        <v>116</v>
      </c>
      <c r="E29" s="53"/>
      <c r="F29" s="193" t="s">
        <v>116</v>
      </c>
      <c r="G29" s="147" t="s">
        <v>117</v>
      </c>
      <c r="H29" s="17" t="s">
        <v>74</v>
      </c>
      <c r="I29" s="240" t="s">
        <v>60</v>
      </c>
    </row>
    <row r="30" spans="1:9" ht="17.100000000000001" thickBot="1">
      <c r="A30" s="1"/>
      <c r="B30" s="149"/>
      <c r="C30" s="150" t="s">
        <v>5</v>
      </c>
      <c r="D30" s="151" t="s">
        <v>118</v>
      </c>
      <c r="E30" s="151"/>
      <c r="F30" s="193" t="s">
        <v>118</v>
      </c>
      <c r="G30" s="147" t="s">
        <v>119</v>
      </c>
      <c r="H30" s="17" t="s">
        <v>74</v>
      </c>
      <c r="I30" s="240" t="s">
        <v>60</v>
      </c>
    </row>
    <row r="31" spans="1:9" ht="17.100000000000001" thickBot="1">
      <c r="A31" s="1"/>
      <c r="B31" s="86" t="s">
        <v>5</v>
      </c>
      <c r="C31" s="219" t="s">
        <v>120</v>
      </c>
      <c r="D31" s="83"/>
      <c r="E31" s="83"/>
      <c r="F31" s="118" t="s">
        <v>120</v>
      </c>
      <c r="G31" s="70" t="s">
        <v>121</v>
      </c>
      <c r="H31" s="224" t="s">
        <v>57</v>
      </c>
      <c r="I31" s="238" t="s">
        <v>60</v>
      </c>
    </row>
    <row r="32" spans="1:9" ht="17.100000000000001" thickBot="1">
      <c r="A32" s="1"/>
      <c r="B32" s="60"/>
      <c r="C32" s="158" t="s">
        <v>5</v>
      </c>
      <c r="D32" s="59" t="s">
        <v>122</v>
      </c>
      <c r="E32" s="59"/>
      <c r="F32" s="193" t="s">
        <v>122</v>
      </c>
      <c r="G32" s="147" t="s">
        <v>123</v>
      </c>
      <c r="H32" s="17" t="s">
        <v>120</v>
      </c>
      <c r="I32" s="240" t="s">
        <v>64</v>
      </c>
    </row>
    <row r="33" spans="1:9" ht="17.100000000000001" thickBot="1">
      <c r="A33" s="1"/>
      <c r="B33" s="146"/>
      <c r="C33" s="62" t="s">
        <v>5</v>
      </c>
      <c r="D33" s="53" t="s">
        <v>124</v>
      </c>
      <c r="E33" s="53"/>
      <c r="F33" s="193" t="s">
        <v>124</v>
      </c>
      <c r="G33" s="147" t="s">
        <v>125</v>
      </c>
      <c r="H33" s="17" t="s">
        <v>120</v>
      </c>
      <c r="I33" s="240" t="s">
        <v>64</v>
      </c>
    </row>
    <row r="34" spans="1:9" ht="17.100000000000001" thickBot="1">
      <c r="A34" s="1"/>
      <c r="B34" s="148"/>
      <c r="C34" s="62" t="s">
        <v>5</v>
      </c>
      <c r="D34" s="53" t="s">
        <v>126</v>
      </c>
      <c r="E34" s="53"/>
      <c r="F34" s="193" t="s">
        <v>126</v>
      </c>
      <c r="G34" s="147" t="s">
        <v>127</v>
      </c>
      <c r="H34" s="17" t="s">
        <v>120</v>
      </c>
      <c r="I34" s="240" t="s">
        <v>60</v>
      </c>
    </row>
    <row r="35" spans="1:9" ht="17.100000000000001" thickBot="1">
      <c r="A35" s="1"/>
      <c r="B35" s="148"/>
      <c r="C35" s="62" t="s">
        <v>5</v>
      </c>
      <c r="D35" s="53" t="s">
        <v>128</v>
      </c>
      <c r="E35" s="53"/>
      <c r="F35" s="193" t="s">
        <v>128</v>
      </c>
      <c r="G35" s="147" t="s">
        <v>129</v>
      </c>
      <c r="H35" s="17" t="s">
        <v>120</v>
      </c>
      <c r="I35" s="240" t="s">
        <v>60</v>
      </c>
    </row>
    <row r="36" spans="1:9" ht="17.100000000000001" thickBot="1">
      <c r="A36" s="1"/>
      <c r="B36" s="148"/>
      <c r="C36" s="62" t="s">
        <v>5</v>
      </c>
      <c r="D36" s="53" t="s">
        <v>130</v>
      </c>
      <c r="E36" s="53"/>
      <c r="F36" s="193" t="s">
        <v>130</v>
      </c>
      <c r="G36" s="147" t="s">
        <v>131</v>
      </c>
      <c r="H36" s="17" t="s">
        <v>120</v>
      </c>
      <c r="I36" s="240" t="s">
        <v>60</v>
      </c>
    </row>
    <row r="37" spans="1:9" ht="17.100000000000001" thickBot="1">
      <c r="A37" s="1"/>
      <c r="B37" s="148"/>
      <c r="C37" s="62" t="s">
        <v>5</v>
      </c>
      <c r="D37" s="53" t="s">
        <v>132</v>
      </c>
      <c r="E37" s="53"/>
      <c r="F37" s="193" t="s">
        <v>132</v>
      </c>
      <c r="G37" s="147" t="s">
        <v>133</v>
      </c>
      <c r="H37" s="17" t="s">
        <v>120</v>
      </c>
      <c r="I37" s="240" t="s">
        <v>60</v>
      </c>
    </row>
    <row r="38" spans="1:9" ht="17.100000000000001" thickBot="1">
      <c r="A38" s="1"/>
      <c r="B38" s="148"/>
      <c r="C38" s="62" t="s">
        <v>5</v>
      </c>
      <c r="D38" s="53" t="s">
        <v>134</v>
      </c>
      <c r="E38" s="53"/>
      <c r="F38" s="193" t="s">
        <v>134</v>
      </c>
      <c r="G38" s="147" t="s">
        <v>135</v>
      </c>
      <c r="H38" s="17" t="s">
        <v>120</v>
      </c>
      <c r="I38" s="240" t="s">
        <v>60</v>
      </c>
    </row>
    <row r="39" spans="1:9" ht="17.100000000000001" thickBot="1">
      <c r="A39" s="1"/>
      <c r="B39" s="148"/>
      <c r="C39" s="62" t="s">
        <v>5</v>
      </c>
      <c r="D39" s="53" t="s">
        <v>136</v>
      </c>
      <c r="E39" s="53"/>
      <c r="F39" s="193" t="s">
        <v>136</v>
      </c>
      <c r="G39" s="147" t="s">
        <v>137</v>
      </c>
      <c r="H39" s="17" t="s">
        <v>120</v>
      </c>
      <c r="I39" s="240" t="s">
        <v>60</v>
      </c>
    </row>
    <row r="40" spans="1:9" ht="17.100000000000001" thickBot="1">
      <c r="A40" s="1"/>
      <c r="B40" s="148"/>
      <c r="C40" s="62" t="s">
        <v>5</v>
      </c>
      <c r="D40" s="53" t="s">
        <v>138</v>
      </c>
      <c r="E40" s="53"/>
      <c r="F40" s="193" t="s">
        <v>138</v>
      </c>
      <c r="G40" s="147" t="s">
        <v>139</v>
      </c>
      <c r="H40" s="17" t="s">
        <v>120</v>
      </c>
      <c r="I40" s="240" t="s">
        <v>60</v>
      </c>
    </row>
    <row r="41" spans="1:9" ht="17.100000000000001" thickBot="1">
      <c r="A41" s="1"/>
      <c r="B41" s="149"/>
      <c r="C41" s="150" t="s">
        <v>5</v>
      </c>
      <c r="D41" s="151" t="s">
        <v>140</v>
      </c>
      <c r="E41" s="151"/>
      <c r="F41" s="194" t="s">
        <v>140</v>
      </c>
      <c r="G41" s="152" t="s">
        <v>141</v>
      </c>
      <c r="H41" s="357" t="s">
        <v>120</v>
      </c>
      <c r="I41" s="240" t="s">
        <v>60</v>
      </c>
    </row>
    <row r="42" spans="1:9" ht="17.100000000000001" thickBot="1">
      <c r="A42" s="1"/>
      <c r="B42" s="156" t="s">
        <v>5</v>
      </c>
      <c r="C42" s="219" t="s">
        <v>142</v>
      </c>
      <c r="D42" s="83"/>
      <c r="E42" s="83"/>
      <c r="F42" s="196" t="s">
        <v>142</v>
      </c>
      <c r="G42" s="71" t="s">
        <v>143</v>
      </c>
      <c r="H42" s="224" t="s">
        <v>57</v>
      </c>
      <c r="I42" s="238" t="s">
        <v>60</v>
      </c>
    </row>
    <row r="43" spans="1:9" ht="17.100000000000001" thickBot="1">
      <c r="A43" s="1"/>
      <c r="B43" s="60"/>
      <c r="C43" s="158" t="s">
        <v>5</v>
      </c>
      <c r="D43" s="59" t="s">
        <v>144</v>
      </c>
      <c r="E43" s="59"/>
      <c r="F43" s="192" t="s">
        <v>144</v>
      </c>
      <c r="G43" s="145" t="s">
        <v>145</v>
      </c>
      <c r="H43" s="17" t="s">
        <v>146</v>
      </c>
      <c r="I43" s="240" t="s">
        <v>64</v>
      </c>
    </row>
    <row r="44" spans="1:9" ht="17.100000000000001" thickBot="1">
      <c r="A44" s="1"/>
      <c r="B44" s="146"/>
      <c r="C44" s="62" t="s">
        <v>5</v>
      </c>
      <c r="D44" s="53" t="s">
        <v>147</v>
      </c>
      <c r="E44" s="53"/>
      <c r="F44" s="193" t="s">
        <v>147</v>
      </c>
      <c r="G44" s="147" t="s">
        <v>148</v>
      </c>
      <c r="H44" s="17" t="s">
        <v>146</v>
      </c>
      <c r="I44" s="240" t="s">
        <v>64</v>
      </c>
    </row>
    <row r="45" spans="1:9" ht="17.100000000000001" thickBot="1">
      <c r="A45" s="1"/>
      <c r="B45" s="148"/>
      <c r="C45" s="62" t="s">
        <v>5</v>
      </c>
      <c r="D45" s="53" t="s">
        <v>149</v>
      </c>
      <c r="E45" s="53"/>
      <c r="F45" s="193" t="s">
        <v>149</v>
      </c>
      <c r="G45" s="147" t="s">
        <v>150</v>
      </c>
      <c r="H45" s="17" t="s">
        <v>146</v>
      </c>
      <c r="I45" s="240" t="s">
        <v>60</v>
      </c>
    </row>
    <row r="46" spans="1:9" ht="17.100000000000001" thickBot="1">
      <c r="A46" s="1"/>
      <c r="B46" s="148"/>
      <c r="C46" s="62" t="s">
        <v>5</v>
      </c>
      <c r="D46" s="53" t="s">
        <v>151</v>
      </c>
      <c r="E46" s="53"/>
      <c r="F46" s="193" t="s">
        <v>151</v>
      </c>
      <c r="G46" s="147" t="s">
        <v>152</v>
      </c>
      <c r="H46" s="17" t="s">
        <v>146</v>
      </c>
      <c r="I46" s="240" t="s">
        <v>60</v>
      </c>
    </row>
    <row r="47" spans="1:9" ht="17.100000000000001" thickBot="1">
      <c r="A47" s="1"/>
      <c r="B47" s="148"/>
      <c r="C47" s="62" t="s">
        <v>5</v>
      </c>
      <c r="D47" s="53" t="s">
        <v>153</v>
      </c>
      <c r="E47" s="53"/>
      <c r="F47" s="193" t="s">
        <v>153</v>
      </c>
      <c r="G47" s="147" t="s">
        <v>154</v>
      </c>
      <c r="H47" s="17" t="s">
        <v>146</v>
      </c>
      <c r="I47" s="240" t="s">
        <v>60</v>
      </c>
    </row>
    <row r="48" spans="1:9" ht="17.100000000000001" thickBot="1">
      <c r="A48" s="1"/>
      <c r="B48" s="148"/>
      <c r="C48" s="62" t="s">
        <v>5</v>
      </c>
      <c r="D48" s="53" t="s">
        <v>155</v>
      </c>
      <c r="E48" s="53"/>
      <c r="F48" s="193" t="s">
        <v>155</v>
      </c>
      <c r="G48" s="147" t="s">
        <v>156</v>
      </c>
      <c r="H48" s="17" t="s">
        <v>146</v>
      </c>
      <c r="I48" s="240" t="s">
        <v>60</v>
      </c>
    </row>
    <row r="49" spans="1:9" ht="17.100000000000001" thickBot="1">
      <c r="A49" s="1"/>
      <c r="B49" s="148"/>
      <c r="C49" s="62" t="s">
        <v>5</v>
      </c>
      <c r="D49" s="53" t="s">
        <v>157</v>
      </c>
      <c r="E49" s="53"/>
      <c r="F49" s="193" t="s">
        <v>157</v>
      </c>
      <c r="G49" s="147" t="s">
        <v>158</v>
      </c>
      <c r="H49" s="17" t="s">
        <v>146</v>
      </c>
      <c r="I49" s="240" t="s">
        <v>60</v>
      </c>
    </row>
    <row r="50" spans="1:9" ht="17.100000000000001" thickBot="1">
      <c r="A50" s="1"/>
      <c r="B50" s="148"/>
      <c r="C50" s="62" t="s">
        <v>5</v>
      </c>
      <c r="D50" s="53" t="s">
        <v>159</v>
      </c>
      <c r="E50" s="53"/>
      <c r="F50" s="193" t="s">
        <v>159</v>
      </c>
      <c r="G50" s="147" t="s">
        <v>160</v>
      </c>
      <c r="H50" s="17" t="s">
        <v>146</v>
      </c>
      <c r="I50" s="240" t="s">
        <v>60</v>
      </c>
    </row>
    <row r="51" spans="1:9" ht="17.100000000000001" thickBot="1">
      <c r="A51" s="1"/>
      <c r="B51" s="148"/>
      <c r="C51" s="62" t="s">
        <v>5</v>
      </c>
      <c r="D51" s="53" t="s">
        <v>161</v>
      </c>
      <c r="E51" s="53"/>
      <c r="F51" s="193" t="s">
        <v>161</v>
      </c>
      <c r="G51" s="147" t="s">
        <v>162</v>
      </c>
      <c r="H51" s="17" t="s">
        <v>146</v>
      </c>
      <c r="I51" s="240" t="s">
        <v>60</v>
      </c>
    </row>
    <row r="52" spans="1:9" ht="17.100000000000001" thickBot="1">
      <c r="A52" s="1"/>
      <c r="B52" s="148"/>
      <c r="C52" s="62" t="s">
        <v>5</v>
      </c>
      <c r="D52" s="53" t="s">
        <v>163</v>
      </c>
      <c r="E52" s="53"/>
      <c r="F52" s="193" t="s">
        <v>163</v>
      </c>
      <c r="G52" s="147" t="s">
        <v>164</v>
      </c>
      <c r="H52" s="17" t="s">
        <v>146</v>
      </c>
      <c r="I52" s="240" t="s">
        <v>60</v>
      </c>
    </row>
    <row r="53" spans="1:9" ht="17.100000000000001" thickBot="1">
      <c r="A53" s="2"/>
      <c r="B53" s="149"/>
      <c r="C53" s="150" t="s">
        <v>5</v>
      </c>
      <c r="D53" s="151" t="s">
        <v>165</v>
      </c>
      <c r="E53" s="151"/>
      <c r="F53" s="194" t="s">
        <v>165</v>
      </c>
      <c r="G53" s="152" t="s">
        <v>166</v>
      </c>
      <c r="H53" s="17" t="s">
        <v>146</v>
      </c>
      <c r="I53" s="240" t="s">
        <v>60</v>
      </c>
    </row>
    <row r="54" spans="1:9" ht="17.100000000000001" thickBot="1">
      <c r="A54" s="2" t="s">
        <v>5</v>
      </c>
      <c r="B54" s="179" t="s">
        <v>167</v>
      </c>
      <c r="C54" s="180"/>
      <c r="D54" s="180"/>
      <c r="E54" s="180"/>
      <c r="F54" s="198" t="s">
        <v>167</v>
      </c>
      <c r="G54" s="157" t="s">
        <v>168</v>
      </c>
      <c r="H54" s="393" t="s">
        <v>57</v>
      </c>
      <c r="I54" s="241" t="s">
        <v>60</v>
      </c>
    </row>
    <row r="55" spans="1:9" ht="17.100000000000001" thickBot="1">
      <c r="A55" s="2"/>
      <c r="B55" s="178" t="s">
        <v>5</v>
      </c>
      <c r="C55" s="159" t="s">
        <v>169</v>
      </c>
      <c r="D55" s="159"/>
      <c r="E55" s="159"/>
      <c r="F55" s="199" t="s">
        <v>169</v>
      </c>
      <c r="G55" s="5" t="s">
        <v>170</v>
      </c>
      <c r="H55" s="15" t="s">
        <v>171</v>
      </c>
      <c r="I55" s="242" t="s">
        <v>60</v>
      </c>
    </row>
    <row r="56" spans="1:9" ht="17.100000000000001" thickBot="1">
      <c r="A56" s="2" t="s">
        <v>5</v>
      </c>
      <c r="B56" s="181" t="s">
        <v>172</v>
      </c>
      <c r="C56" s="182"/>
      <c r="D56" s="182"/>
      <c r="E56" s="182"/>
      <c r="F56" s="200" t="s">
        <v>172</v>
      </c>
      <c r="G56" s="161" t="s">
        <v>173</v>
      </c>
      <c r="H56" s="394" t="s">
        <v>57</v>
      </c>
      <c r="I56" s="243" t="s">
        <v>60</v>
      </c>
    </row>
    <row r="57" spans="1:9" ht="17.100000000000001" thickBot="1">
      <c r="A57" s="1"/>
      <c r="B57" s="162" t="s">
        <v>5</v>
      </c>
      <c r="C57" s="160" t="s">
        <v>174</v>
      </c>
      <c r="D57" s="160"/>
      <c r="E57" s="160"/>
      <c r="F57" s="201" t="s">
        <v>174</v>
      </c>
      <c r="G57" s="163" t="s">
        <v>175</v>
      </c>
      <c r="H57" s="225" t="s">
        <v>172</v>
      </c>
      <c r="I57" s="244" t="s">
        <v>64</v>
      </c>
    </row>
    <row r="58" spans="1:9" ht="17.100000000000001" thickBot="1">
      <c r="A58" s="1"/>
      <c r="B58" s="164" t="s">
        <v>5</v>
      </c>
      <c r="C58" s="63" t="s">
        <v>176</v>
      </c>
      <c r="D58" s="63"/>
      <c r="E58" s="63"/>
      <c r="F58" s="202" t="s">
        <v>176</v>
      </c>
      <c r="G58" s="165" t="s">
        <v>177</v>
      </c>
      <c r="H58" s="225" t="s">
        <v>172</v>
      </c>
      <c r="I58" s="244" t="s">
        <v>60</v>
      </c>
    </row>
    <row r="59" spans="1:9" ht="17.100000000000001" thickBot="1">
      <c r="A59" s="1"/>
      <c r="B59" s="164" t="s">
        <v>5</v>
      </c>
      <c r="C59" s="63" t="s">
        <v>178</v>
      </c>
      <c r="D59" s="63"/>
      <c r="E59" s="63"/>
      <c r="F59" s="202" t="s">
        <v>178</v>
      </c>
      <c r="G59" s="165" t="s">
        <v>179</v>
      </c>
      <c r="H59" s="225" t="s">
        <v>172</v>
      </c>
      <c r="I59" s="244" t="s">
        <v>60</v>
      </c>
    </row>
    <row r="60" spans="1:9" ht="17.100000000000001" thickBot="1">
      <c r="B60" s="166" t="s">
        <v>5</v>
      </c>
      <c r="C60" s="167" t="s">
        <v>180</v>
      </c>
      <c r="D60" s="167"/>
      <c r="E60" s="167"/>
      <c r="F60" s="202" t="s">
        <v>180</v>
      </c>
      <c r="G60" s="165" t="s">
        <v>181</v>
      </c>
      <c r="H60" s="225" t="s">
        <v>172</v>
      </c>
      <c r="I60" s="244" t="s">
        <v>60</v>
      </c>
    </row>
    <row r="61" spans="1:9" ht="17.100000000000001" thickBot="1">
      <c r="A61" s="2" t="s">
        <v>5</v>
      </c>
      <c r="B61" s="183" t="s">
        <v>182</v>
      </c>
      <c r="C61" s="169"/>
      <c r="D61" s="169"/>
      <c r="E61" s="169"/>
      <c r="F61" s="203" t="s">
        <v>182</v>
      </c>
      <c r="G61" s="170" t="s">
        <v>183</v>
      </c>
      <c r="H61" s="226" t="s">
        <v>57</v>
      </c>
      <c r="I61" s="245" t="s">
        <v>60</v>
      </c>
    </row>
    <row r="62" spans="1:9" ht="17.100000000000001" thickBot="1">
      <c r="A62" s="1"/>
      <c r="B62" s="171" t="s">
        <v>5</v>
      </c>
      <c r="C62" s="172" t="s">
        <v>184</v>
      </c>
      <c r="D62" s="172"/>
      <c r="E62" s="172"/>
      <c r="F62" s="204" t="s">
        <v>184</v>
      </c>
      <c r="G62" s="173" t="s">
        <v>185</v>
      </c>
      <c r="H62" s="227" t="s">
        <v>186</v>
      </c>
      <c r="I62" s="246" t="s">
        <v>64</v>
      </c>
    </row>
    <row r="63" spans="1:9" ht="17.100000000000001" thickBot="1">
      <c r="A63" s="1"/>
      <c r="B63" s="220" t="s">
        <v>5</v>
      </c>
      <c r="C63" s="221" t="s">
        <v>187</v>
      </c>
      <c r="D63" s="221"/>
      <c r="E63" s="221"/>
      <c r="F63" s="295" t="s">
        <v>187</v>
      </c>
      <c r="G63" s="222" t="s">
        <v>188</v>
      </c>
      <c r="H63" s="247" t="s">
        <v>57</v>
      </c>
      <c r="I63" s="248" t="s">
        <v>60</v>
      </c>
    </row>
    <row r="64" spans="1:9" ht="17.100000000000001" thickBot="1">
      <c r="A64" s="1"/>
      <c r="B64" s="174"/>
      <c r="C64" s="64" t="s">
        <v>5</v>
      </c>
      <c r="D64" s="65" t="s">
        <v>189</v>
      </c>
      <c r="E64" s="65"/>
      <c r="F64" s="204" t="s">
        <v>189</v>
      </c>
      <c r="G64" s="175" t="s">
        <v>190</v>
      </c>
      <c r="H64" s="227" t="s">
        <v>187</v>
      </c>
      <c r="I64" s="249" t="s">
        <v>64</v>
      </c>
    </row>
    <row r="65" spans="1:9" ht="17.100000000000001" thickBot="1">
      <c r="A65" s="1"/>
      <c r="B65" s="174"/>
      <c r="C65" s="64" t="s">
        <v>5</v>
      </c>
      <c r="D65" s="65" t="s">
        <v>191</v>
      </c>
      <c r="E65" s="65"/>
      <c r="F65" s="205" t="s">
        <v>191</v>
      </c>
      <c r="G65" s="175" t="s">
        <v>192</v>
      </c>
      <c r="H65" s="227" t="s">
        <v>187</v>
      </c>
      <c r="I65" s="249" t="s">
        <v>64</v>
      </c>
    </row>
    <row r="66" spans="1:9">
      <c r="A66" s="1"/>
      <c r="B66" s="176"/>
      <c r="C66" s="64" t="s">
        <v>5</v>
      </c>
      <c r="D66" s="65" t="s">
        <v>193</v>
      </c>
      <c r="E66" s="65"/>
      <c r="F66" s="205" t="s">
        <v>193</v>
      </c>
      <c r="G66" s="175" t="s">
        <v>194</v>
      </c>
      <c r="H66" s="227" t="s">
        <v>187</v>
      </c>
      <c r="I66" s="249" t="s">
        <v>60</v>
      </c>
    </row>
    <row r="67" spans="1:9" ht="17.100000000000001" thickBot="1">
      <c r="A67" s="1"/>
      <c r="B67" s="176"/>
      <c r="C67" s="65"/>
      <c r="D67" s="64" t="s">
        <v>5</v>
      </c>
      <c r="E67" s="65" t="s">
        <v>195</v>
      </c>
      <c r="F67" s="205" t="s">
        <v>195</v>
      </c>
      <c r="G67" s="177" t="s">
        <v>196</v>
      </c>
      <c r="H67" s="227" t="s">
        <v>187</v>
      </c>
      <c r="I67" s="249" t="s">
        <v>60</v>
      </c>
    </row>
    <row r="68" spans="1:9" ht="17.100000000000001" thickBot="1">
      <c r="A68" s="1"/>
      <c r="B68" s="176"/>
      <c r="C68" s="65"/>
      <c r="D68" s="64" t="s">
        <v>5</v>
      </c>
      <c r="E68" s="65" t="s">
        <v>197</v>
      </c>
      <c r="F68" s="205" t="s">
        <v>197</v>
      </c>
      <c r="G68" s="175" t="s">
        <v>198</v>
      </c>
      <c r="H68" s="227" t="s">
        <v>187</v>
      </c>
      <c r="I68" s="249" t="s">
        <v>60</v>
      </c>
    </row>
    <row r="69" spans="1:9" ht="17.100000000000001" thickBot="1">
      <c r="A69" s="1"/>
      <c r="B69" s="176"/>
      <c r="C69" s="65"/>
      <c r="D69" s="64" t="s">
        <v>5</v>
      </c>
      <c r="E69" s="65" t="s">
        <v>199</v>
      </c>
      <c r="F69" s="205" t="s">
        <v>199</v>
      </c>
      <c r="G69" s="175" t="s">
        <v>200</v>
      </c>
      <c r="H69" s="227" t="s">
        <v>187</v>
      </c>
      <c r="I69" s="249" t="s">
        <v>60</v>
      </c>
    </row>
    <row r="70" spans="1:9" ht="17.100000000000001" thickBot="1">
      <c r="A70" s="1"/>
      <c r="B70" s="176"/>
      <c r="C70" s="65"/>
      <c r="D70" s="64" t="s">
        <v>5</v>
      </c>
      <c r="E70" s="65" t="s">
        <v>201</v>
      </c>
      <c r="F70" s="205" t="s">
        <v>201</v>
      </c>
      <c r="G70" s="177" t="s">
        <v>202</v>
      </c>
      <c r="H70" s="227" t="s">
        <v>187</v>
      </c>
      <c r="I70" s="249" t="s">
        <v>60</v>
      </c>
    </row>
    <row r="71" spans="1:9" ht="17.100000000000001" thickBot="1">
      <c r="A71" s="1"/>
      <c r="B71" s="176"/>
      <c r="C71" s="64" t="s">
        <v>5</v>
      </c>
      <c r="D71" s="65" t="s">
        <v>203</v>
      </c>
      <c r="E71" s="65"/>
      <c r="F71" s="205" t="s">
        <v>203</v>
      </c>
      <c r="G71" s="175" t="s">
        <v>204</v>
      </c>
      <c r="H71" s="227" t="s">
        <v>187</v>
      </c>
      <c r="I71" s="249" t="s">
        <v>60</v>
      </c>
    </row>
    <row r="72" spans="1:9" ht="17.100000000000001" thickBot="1">
      <c r="A72" s="1"/>
      <c r="B72" s="218" t="s">
        <v>5</v>
      </c>
      <c r="C72" s="168" t="s">
        <v>186</v>
      </c>
      <c r="D72" s="297"/>
      <c r="E72" s="168"/>
      <c r="F72" s="298" t="s">
        <v>186</v>
      </c>
      <c r="G72" s="217" t="s">
        <v>205</v>
      </c>
      <c r="H72" s="299" t="s">
        <v>57</v>
      </c>
      <c r="I72" s="300" t="s">
        <v>60</v>
      </c>
    </row>
    <row r="73" spans="1:9" ht="17.100000000000001" thickBot="1">
      <c r="A73" s="1"/>
      <c r="B73" s="174"/>
      <c r="C73" s="64" t="s">
        <v>5</v>
      </c>
      <c r="D73" s="65" t="s">
        <v>206</v>
      </c>
      <c r="E73" s="65"/>
      <c r="F73" s="205" t="s">
        <v>206</v>
      </c>
      <c r="G73" s="177" t="s">
        <v>207</v>
      </c>
      <c r="H73" s="301" t="s">
        <v>186</v>
      </c>
      <c r="I73" s="249" t="s">
        <v>60</v>
      </c>
    </row>
    <row r="74" spans="1:9" ht="17.100000000000001" thickBot="1">
      <c r="A74" s="1"/>
      <c r="B74" s="176"/>
      <c r="C74" s="64" t="s">
        <v>5</v>
      </c>
      <c r="D74" s="65" t="s">
        <v>208</v>
      </c>
      <c r="E74" s="65"/>
      <c r="F74" s="205" t="s">
        <v>208</v>
      </c>
      <c r="G74" s="175" t="s">
        <v>209</v>
      </c>
      <c r="H74" s="227" t="s">
        <v>208</v>
      </c>
      <c r="I74" s="249" t="s">
        <v>60</v>
      </c>
    </row>
    <row r="75" spans="1:9" ht="17.100000000000001" thickBot="1">
      <c r="A75" s="1"/>
      <c r="B75" s="176"/>
      <c r="C75" s="64" t="s">
        <v>5</v>
      </c>
      <c r="D75" s="65" t="s">
        <v>210</v>
      </c>
      <c r="E75" s="65"/>
      <c r="F75" s="205" t="s">
        <v>210</v>
      </c>
      <c r="G75" s="177" t="s">
        <v>211</v>
      </c>
      <c r="H75" s="227" t="s">
        <v>212</v>
      </c>
      <c r="I75" s="249" t="s">
        <v>60</v>
      </c>
    </row>
    <row r="76" spans="1:9" ht="17.100000000000001" thickBot="1">
      <c r="A76" s="1"/>
      <c r="B76" s="176"/>
      <c r="C76" s="64" t="s">
        <v>5</v>
      </c>
      <c r="D76" s="65" t="s">
        <v>213</v>
      </c>
      <c r="E76" s="65"/>
      <c r="F76" s="205" t="s">
        <v>213</v>
      </c>
      <c r="G76" s="175" t="s">
        <v>214</v>
      </c>
      <c r="H76" s="227" t="s">
        <v>186</v>
      </c>
      <c r="I76" s="249" t="s">
        <v>60</v>
      </c>
    </row>
    <row r="77" spans="1:9" ht="17.100000000000001" thickBot="1">
      <c r="B77" s="176"/>
      <c r="C77" s="64" t="s">
        <v>5</v>
      </c>
      <c r="D77" s="65" t="s">
        <v>215</v>
      </c>
      <c r="E77" s="65"/>
      <c r="F77" s="294" t="s">
        <v>215</v>
      </c>
      <c r="G77" s="184" t="s">
        <v>216</v>
      </c>
      <c r="H77" s="227" t="s">
        <v>186</v>
      </c>
      <c r="I77" s="249" t="s">
        <v>60</v>
      </c>
    </row>
    <row r="78" spans="1:9" ht="17.100000000000001" thickBot="1">
      <c r="A78" s="2" t="s">
        <v>5</v>
      </c>
      <c r="B78" s="250" t="s">
        <v>217</v>
      </c>
      <c r="C78" s="266"/>
      <c r="D78" s="266"/>
      <c r="E78" s="266"/>
      <c r="F78" s="296" t="s">
        <v>217</v>
      </c>
      <c r="G78" s="267" t="s">
        <v>218</v>
      </c>
      <c r="H78" s="268" t="s">
        <v>57</v>
      </c>
      <c r="I78" s="269" t="s">
        <v>60</v>
      </c>
    </row>
    <row r="79" spans="1:9" ht="17.100000000000001" thickBot="1">
      <c r="A79" s="1"/>
      <c r="B79" s="251" t="s">
        <v>5</v>
      </c>
      <c r="C79" s="252" t="s">
        <v>219</v>
      </c>
      <c r="D79" s="252" t="s">
        <v>219</v>
      </c>
      <c r="E79" s="252"/>
      <c r="F79" s="253" t="s">
        <v>219</v>
      </c>
      <c r="G79" s="254" t="s">
        <v>220</v>
      </c>
      <c r="H79" s="255" t="s">
        <v>171</v>
      </c>
      <c r="I79" s="256" t="s">
        <v>60</v>
      </c>
    </row>
    <row r="80" spans="1:9" ht="17.100000000000001" thickBot="1">
      <c r="A80" s="1"/>
      <c r="B80" s="257" t="s">
        <v>5</v>
      </c>
      <c r="C80" s="258" t="s">
        <v>221</v>
      </c>
      <c r="D80" s="258" t="s">
        <v>221</v>
      </c>
      <c r="E80" s="258"/>
      <c r="F80" s="259" t="s">
        <v>221</v>
      </c>
      <c r="G80" s="260" t="s">
        <v>222</v>
      </c>
      <c r="H80" s="255" t="s">
        <v>171</v>
      </c>
      <c r="I80" s="256" t="s">
        <v>60</v>
      </c>
    </row>
    <row r="81" spans="1:9" ht="17.100000000000001" thickBot="1">
      <c r="B81" s="257" t="s">
        <v>5</v>
      </c>
      <c r="C81" s="258" t="s">
        <v>223</v>
      </c>
      <c r="D81" s="258" t="s">
        <v>223</v>
      </c>
      <c r="E81" s="258"/>
      <c r="F81" s="259" t="s">
        <v>223</v>
      </c>
      <c r="G81" s="260" t="s">
        <v>224</v>
      </c>
      <c r="H81" s="255" t="s">
        <v>171</v>
      </c>
      <c r="I81" s="256" t="s">
        <v>60</v>
      </c>
    </row>
    <row r="82" spans="1:9" ht="17.100000000000001" thickBot="1">
      <c r="A82" s="2" t="s">
        <v>5</v>
      </c>
      <c r="B82" s="185" t="s">
        <v>225</v>
      </c>
      <c r="C82" s="186"/>
      <c r="D82" s="186" t="s">
        <v>225</v>
      </c>
      <c r="E82" s="186"/>
      <c r="F82" s="206" t="s">
        <v>225</v>
      </c>
      <c r="G82" s="187" t="s">
        <v>226</v>
      </c>
      <c r="H82" s="228" t="s">
        <v>57</v>
      </c>
      <c r="I82" s="261" t="s">
        <v>60</v>
      </c>
    </row>
    <row r="83" spans="1:9" ht="17.100000000000001" thickBot="1">
      <c r="A83" s="1"/>
      <c r="B83" s="188" t="s">
        <v>5</v>
      </c>
      <c r="C83" s="189" t="s">
        <v>227</v>
      </c>
      <c r="D83" s="189"/>
      <c r="E83" s="189"/>
      <c r="F83" s="207" t="s">
        <v>227</v>
      </c>
      <c r="G83" s="190" t="s">
        <v>228</v>
      </c>
      <c r="H83" s="229" t="s">
        <v>171</v>
      </c>
      <c r="I83" s="262" t="s">
        <v>64</v>
      </c>
    </row>
    <row r="84" spans="1:9" ht="17.100000000000001" thickBot="1">
      <c r="A84" s="1"/>
      <c r="B84" s="188" t="s">
        <v>5</v>
      </c>
      <c r="C84" s="189" t="s">
        <v>229</v>
      </c>
      <c r="D84" s="189"/>
      <c r="E84" s="190"/>
      <c r="F84" s="336" t="s">
        <v>229</v>
      </c>
      <c r="G84" s="208" t="s">
        <v>230</v>
      </c>
      <c r="H84" s="229" t="s">
        <v>171</v>
      </c>
      <c r="I84" s="262" t="s">
        <v>64</v>
      </c>
    </row>
    <row r="85" spans="1:9" ht="17.100000000000001" thickBot="1">
      <c r="A85" s="1"/>
      <c r="B85" s="188" t="s">
        <v>5</v>
      </c>
      <c r="C85" s="189" t="s">
        <v>231</v>
      </c>
      <c r="D85" s="189"/>
      <c r="E85" s="190"/>
      <c r="F85" s="331" t="s">
        <v>231</v>
      </c>
      <c r="G85" s="26" t="s">
        <v>232</v>
      </c>
      <c r="H85" s="229" t="s">
        <v>233</v>
      </c>
      <c r="I85" s="262" t="s">
        <v>60</v>
      </c>
    </row>
    <row r="86" spans="1:9" ht="17.100000000000001" thickBot="1">
      <c r="A86" s="1"/>
      <c r="B86" s="191"/>
      <c r="C86" s="329" t="s">
        <v>5</v>
      </c>
      <c r="D86" s="330" t="s">
        <v>234</v>
      </c>
      <c r="E86" s="331"/>
      <c r="F86" s="331" t="s">
        <v>234</v>
      </c>
      <c r="G86" s="26" t="s">
        <v>235</v>
      </c>
      <c r="H86" s="229" t="s">
        <v>233</v>
      </c>
      <c r="I86" s="262" t="s">
        <v>60</v>
      </c>
    </row>
    <row r="87" spans="1:9" ht="17.100000000000001" thickBot="1">
      <c r="A87" s="1"/>
      <c r="B87" s="191"/>
      <c r="C87" s="330"/>
      <c r="D87" s="329" t="s">
        <v>5</v>
      </c>
      <c r="E87" s="331" t="s">
        <v>236</v>
      </c>
      <c r="F87" s="332" t="s">
        <v>236</v>
      </c>
      <c r="G87" s="27" t="s">
        <v>237</v>
      </c>
      <c r="H87" s="229" t="s">
        <v>233</v>
      </c>
      <c r="I87" s="262" t="s">
        <v>60</v>
      </c>
    </row>
    <row r="88" spans="1:9" ht="17.100000000000001" thickBot="1">
      <c r="A88" s="1"/>
      <c r="B88" s="191"/>
      <c r="C88" s="330"/>
      <c r="D88" s="329" t="s">
        <v>5</v>
      </c>
      <c r="E88" s="331" t="s">
        <v>238</v>
      </c>
      <c r="F88" s="332" t="s">
        <v>238</v>
      </c>
      <c r="G88" s="26" t="s">
        <v>239</v>
      </c>
      <c r="H88" s="229" t="s">
        <v>233</v>
      </c>
      <c r="I88" s="262" t="s">
        <v>60</v>
      </c>
    </row>
    <row r="89" spans="1:9" ht="17.100000000000001" thickBot="1">
      <c r="B89" s="191"/>
      <c r="C89" s="330"/>
      <c r="D89" s="329" t="s">
        <v>5</v>
      </c>
      <c r="E89" s="331" t="s">
        <v>240</v>
      </c>
      <c r="F89" s="332" t="s">
        <v>240</v>
      </c>
      <c r="G89" s="26" t="s">
        <v>241</v>
      </c>
      <c r="H89" s="230" t="s">
        <v>233</v>
      </c>
      <c r="I89" s="262" t="s">
        <v>60</v>
      </c>
    </row>
    <row r="90" spans="1:9" ht="17.100000000000001" thickBot="1">
      <c r="B90" s="349" t="s">
        <v>5</v>
      </c>
      <c r="C90" s="338" t="s">
        <v>242</v>
      </c>
      <c r="D90" s="328"/>
      <c r="E90" s="339"/>
      <c r="F90" s="337" t="str">
        <f>C90</f>
        <v>CNS Vascular Tumors</v>
      </c>
      <c r="G90" s="344" t="s">
        <v>243</v>
      </c>
      <c r="H90" s="345" t="s">
        <v>57</v>
      </c>
      <c r="I90" s="346" t="s">
        <v>60</v>
      </c>
    </row>
    <row r="91" spans="1:9" ht="17.100000000000001" thickBot="1">
      <c r="B91" s="340"/>
      <c r="C91" s="341" t="s">
        <v>5</v>
      </c>
      <c r="D91" s="342" t="s">
        <v>244</v>
      </c>
      <c r="E91" s="343"/>
      <c r="F91" s="332" t="s">
        <v>244</v>
      </c>
      <c r="G91" s="347" t="s">
        <v>245</v>
      </c>
      <c r="H91" s="348" t="s">
        <v>171</v>
      </c>
      <c r="I91" s="262" t="s">
        <v>60</v>
      </c>
    </row>
    <row r="92" spans="1:9" ht="17.100000000000001" thickBot="1">
      <c r="A92" s="2" t="s">
        <v>5</v>
      </c>
      <c r="B92" s="333" t="s">
        <v>246</v>
      </c>
      <c r="C92" s="334"/>
      <c r="D92" s="335" t="s">
        <v>246</v>
      </c>
      <c r="E92" s="334"/>
      <c r="F92" s="212" t="s">
        <v>246</v>
      </c>
      <c r="G92" s="211" t="s">
        <v>247</v>
      </c>
      <c r="H92" s="210" t="s">
        <v>57</v>
      </c>
      <c r="I92" s="263" t="s">
        <v>60</v>
      </c>
    </row>
    <row r="93" spans="1:9" ht="17.100000000000001" thickBot="1">
      <c r="A93" s="2"/>
      <c r="B93" s="6" t="s">
        <v>5</v>
      </c>
      <c r="C93" s="10" t="s">
        <v>248</v>
      </c>
      <c r="D93" s="10"/>
      <c r="E93" s="10"/>
      <c r="F93" s="213" t="s">
        <v>248</v>
      </c>
      <c r="G93" s="7" t="s">
        <v>249</v>
      </c>
      <c r="H93" s="231" t="s">
        <v>171</v>
      </c>
      <c r="I93" s="264" t="s">
        <v>64</v>
      </c>
    </row>
    <row r="94" spans="1:9" ht="17.100000000000001" thickBot="1">
      <c r="A94" s="1"/>
      <c r="B94" s="6" t="s">
        <v>5</v>
      </c>
      <c r="C94" s="10" t="s">
        <v>250</v>
      </c>
      <c r="D94" s="10"/>
      <c r="E94" s="10"/>
      <c r="F94" s="209" t="s">
        <v>250</v>
      </c>
      <c r="G94" s="7" t="s">
        <v>251</v>
      </c>
      <c r="H94" s="232" t="s">
        <v>171</v>
      </c>
      <c r="I94" s="264" t="s">
        <v>64</v>
      </c>
    </row>
    <row r="95" spans="1:9" ht="17.100000000000001" thickBot="1">
      <c r="A95" s="1"/>
      <c r="B95" s="6" t="s">
        <v>5</v>
      </c>
      <c r="C95" s="10" t="s">
        <v>252</v>
      </c>
      <c r="D95" s="10"/>
      <c r="E95" s="10"/>
      <c r="F95" s="209" t="s">
        <v>252</v>
      </c>
      <c r="G95" s="7" t="s">
        <v>253</v>
      </c>
      <c r="H95" s="232" t="s">
        <v>254</v>
      </c>
      <c r="I95" s="264" t="s">
        <v>60</v>
      </c>
    </row>
    <row r="96" spans="1:9" ht="17.100000000000001" thickBot="1">
      <c r="A96" s="1"/>
      <c r="B96" s="6" t="s">
        <v>5</v>
      </c>
      <c r="C96" s="10" t="s">
        <v>255</v>
      </c>
      <c r="D96" s="10"/>
      <c r="E96" s="10"/>
      <c r="F96" s="209" t="s">
        <v>255</v>
      </c>
      <c r="G96" s="7" t="s">
        <v>256</v>
      </c>
      <c r="H96" s="232" t="s">
        <v>171</v>
      </c>
      <c r="I96" s="264" t="s">
        <v>60</v>
      </c>
    </row>
    <row r="97" spans="1:10" ht="17.100000000000001" thickBot="1">
      <c r="A97" s="2"/>
      <c r="B97" s="6" t="s">
        <v>5</v>
      </c>
      <c r="C97" s="10" t="s">
        <v>257</v>
      </c>
      <c r="D97" s="10"/>
      <c r="E97" s="10"/>
      <c r="F97" s="209" t="s">
        <v>257</v>
      </c>
      <c r="G97" s="7" t="s">
        <v>258</v>
      </c>
      <c r="H97" s="232" t="s">
        <v>171</v>
      </c>
      <c r="I97" s="264" t="s">
        <v>60</v>
      </c>
    </row>
    <row r="98" spans="1:10" ht="17.100000000000001" thickBot="1">
      <c r="A98" s="2" t="s">
        <v>5</v>
      </c>
      <c r="B98" s="323" t="s">
        <v>259</v>
      </c>
      <c r="C98" s="324"/>
      <c r="D98" s="325"/>
      <c r="E98" s="59"/>
      <c r="F98" s="350" t="str">
        <f>B98</f>
        <v>Hematolymphoid Tumors Involving the CNS</v>
      </c>
      <c r="G98" s="192" t="s">
        <v>260</v>
      </c>
      <c r="H98" s="351" t="s">
        <v>171</v>
      </c>
      <c r="I98" s="352" t="s">
        <v>60</v>
      </c>
    </row>
    <row r="99" spans="1:10" ht="17.100000000000001" thickBot="1">
      <c r="A99" s="2"/>
      <c r="B99" s="109" t="s">
        <v>5</v>
      </c>
      <c r="C99" s="102" t="s">
        <v>261</v>
      </c>
      <c r="D99" s="326"/>
      <c r="E99" s="327"/>
      <c r="F99" s="105" t="str">
        <f>C99</f>
        <v>Histiocytic Sarcoma</v>
      </c>
      <c r="G99" s="354" t="s">
        <v>262</v>
      </c>
      <c r="H99" s="355" t="s">
        <v>171</v>
      </c>
      <c r="I99" s="353" t="s">
        <v>60</v>
      </c>
    </row>
    <row r="100" spans="1:10" ht="17.100000000000001" thickBot="1">
      <c r="A100" s="2" t="s">
        <v>5</v>
      </c>
      <c r="B100" s="287" t="s">
        <v>263</v>
      </c>
      <c r="C100" s="288"/>
      <c r="D100" s="289"/>
      <c r="E100" s="286" t="s">
        <v>263</v>
      </c>
      <c r="F100" s="286" t="s">
        <v>263</v>
      </c>
      <c r="G100" s="356" t="s">
        <v>264</v>
      </c>
      <c r="H100" s="303" t="s">
        <v>171</v>
      </c>
      <c r="I100" s="236" t="s">
        <v>64</v>
      </c>
    </row>
    <row r="101" spans="1:10" ht="17.100000000000001" thickBot="1">
      <c r="A101" s="2" t="s">
        <v>5</v>
      </c>
      <c r="B101" s="287" t="s">
        <v>265</v>
      </c>
      <c r="C101" s="288"/>
      <c r="D101" s="289"/>
      <c r="E101" s="286" t="s">
        <v>265</v>
      </c>
      <c r="F101" s="286" t="s">
        <v>265</v>
      </c>
      <c r="G101" s="215" t="s">
        <v>266</v>
      </c>
      <c r="H101" s="233" t="s">
        <v>171</v>
      </c>
      <c r="I101" s="236" t="s">
        <v>64</v>
      </c>
    </row>
    <row r="102" spans="1:10" ht="17.100000000000001" thickBot="1">
      <c r="A102" s="1"/>
      <c r="B102" s="290" t="s">
        <v>267</v>
      </c>
      <c r="C102" s="291"/>
      <c r="D102" s="292"/>
      <c r="E102" s="293" t="s">
        <v>267</v>
      </c>
      <c r="F102" s="214" t="s">
        <v>267</v>
      </c>
      <c r="G102" s="214" t="s">
        <v>268</v>
      </c>
      <c r="H102" s="234" t="s">
        <v>57</v>
      </c>
      <c r="I102" s="265" t="s">
        <v>60</v>
      </c>
    </row>
    <row r="103" spans="1:10" ht="17.100000000000001" thickBot="1">
      <c r="A103" s="1"/>
      <c r="B103" s="316" t="s">
        <v>5</v>
      </c>
      <c r="C103" s="288" t="s">
        <v>269</v>
      </c>
      <c r="D103" s="289"/>
      <c r="E103" s="286" t="s">
        <v>269</v>
      </c>
      <c r="F103" s="317" t="s">
        <v>269</v>
      </c>
      <c r="G103" s="318" t="s">
        <v>270</v>
      </c>
      <c r="H103" s="319" t="s">
        <v>171</v>
      </c>
      <c r="I103" s="320" t="s">
        <v>64</v>
      </c>
    </row>
    <row r="104" spans="1:10" ht="17.100000000000001" thickBot="1">
      <c r="A104" s="2" t="s">
        <v>5</v>
      </c>
      <c r="B104" s="312" t="s">
        <v>271</v>
      </c>
      <c r="C104" s="313"/>
      <c r="D104" s="314"/>
      <c r="E104" s="314"/>
      <c r="F104" s="322" t="str">
        <f>B104</f>
        <v>Germ Cell Tumor, Brain</v>
      </c>
      <c r="G104" s="314" t="s">
        <v>272</v>
      </c>
      <c r="H104" s="321" t="s">
        <v>273</v>
      </c>
      <c r="I104" s="315" t="s">
        <v>64</v>
      </c>
      <c r="J104" s="19"/>
    </row>
  </sheetData>
  <mergeCells count="1">
    <mergeCell ref="A1:D1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161F-7F67-4B84-A8C7-114AAD319D76}">
  <sheetPr codeName="Sheet4"/>
  <dimension ref="A1:H218"/>
  <sheetViews>
    <sheetView topLeftCell="D1" zoomScale="89" workbookViewId="0">
      <selection activeCell="G11" sqref="G11"/>
    </sheetView>
  </sheetViews>
  <sheetFormatPr defaultColWidth="8.875" defaultRowHeight="15.75" customHeight="1"/>
  <cols>
    <col min="1" max="1" width="11" bestFit="1" customWidth="1"/>
    <col min="2" max="2" width="27.875" bestFit="1" customWidth="1"/>
    <col min="3" max="3" width="48.125" bestFit="1" customWidth="1"/>
    <col min="4" max="5" width="65.5" bestFit="1" customWidth="1"/>
    <col min="6" max="6" width="13.625" bestFit="1" customWidth="1"/>
    <col min="7" max="7" width="33.625" bestFit="1" customWidth="1"/>
    <col min="8" max="8" width="13.375" bestFit="1" customWidth="1"/>
  </cols>
  <sheetData>
    <row r="1" spans="1:8">
      <c r="A1" s="679" t="s">
        <v>52</v>
      </c>
      <c r="B1" s="679"/>
      <c r="C1" s="679"/>
      <c r="D1" s="679"/>
      <c r="E1" s="24" t="s">
        <v>53</v>
      </c>
      <c r="F1" s="24" t="s">
        <v>54</v>
      </c>
      <c r="G1" s="223" t="s">
        <v>55</v>
      </c>
      <c r="H1" s="395" t="s">
        <v>274</v>
      </c>
    </row>
    <row r="2" spans="1:8" ht="16.5">
      <c r="A2" s="396" t="s">
        <v>275</v>
      </c>
      <c r="B2" s="686"/>
      <c r="C2" s="687"/>
      <c r="D2" s="687"/>
      <c r="E2" s="398" t="s">
        <v>275</v>
      </c>
      <c r="F2" s="397" t="s">
        <v>13</v>
      </c>
      <c r="G2" s="613" t="s">
        <v>57</v>
      </c>
      <c r="H2" s="653"/>
    </row>
    <row r="3" spans="1:8">
      <c r="A3" s="9" t="s">
        <v>5</v>
      </c>
      <c r="B3" s="28" t="s">
        <v>276</v>
      </c>
      <c r="C3" s="399"/>
      <c r="D3" s="400"/>
      <c r="E3" s="401" t="str">
        <f>B3</f>
        <v>Endocrine Tumors</v>
      </c>
      <c r="F3" s="401" t="s">
        <v>277</v>
      </c>
      <c r="G3" s="614" t="s">
        <v>57</v>
      </c>
      <c r="H3" s="654" t="s">
        <v>60</v>
      </c>
    </row>
    <row r="4" spans="1:8">
      <c r="A4" s="402"/>
      <c r="B4" s="403" t="s">
        <v>5</v>
      </c>
      <c r="C4" s="29" t="s">
        <v>278</v>
      </c>
      <c r="D4" s="404"/>
      <c r="E4" s="405" t="str">
        <f>C4</f>
        <v>Adrenal Tumors</v>
      </c>
      <c r="F4" s="406" t="s">
        <v>279</v>
      </c>
      <c r="G4" s="579" t="s">
        <v>57</v>
      </c>
      <c r="H4" s="580" t="s">
        <v>60</v>
      </c>
    </row>
    <row r="5" spans="1:8">
      <c r="A5" s="402"/>
      <c r="B5" s="408"/>
      <c r="C5" s="409" t="s">
        <v>5</v>
      </c>
      <c r="D5" s="410" t="s">
        <v>280</v>
      </c>
      <c r="E5" s="411" t="str">
        <f>D5</f>
        <v>Adrenal Cortical Tumors</v>
      </c>
      <c r="F5" s="406" t="s">
        <v>281</v>
      </c>
      <c r="G5" s="615" t="s">
        <v>282</v>
      </c>
      <c r="H5" s="580" t="s">
        <v>64</v>
      </c>
    </row>
    <row r="6" spans="1:8">
      <c r="A6" s="402"/>
      <c r="B6" s="408"/>
      <c r="C6" s="409" t="s">
        <v>5</v>
      </c>
      <c r="D6" s="410" t="s">
        <v>283</v>
      </c>
      <c r="E6" s="411" t="str">
        <f t="shared" ref="E6:E8" si="0">D6</f>
        <v>Adrenal Cortical Adenoma</v>
      </c>
      <c r="F6" s="412" t="s">
        <v>284</v>
      </c>
      <c r="G6" s="615" t="s">
        <v>282</v>
      </c>
      <c r="H6" s="580" t="s">
        <v>285</v>
      </c>
    </row>
    <row r="7" spans="1:8">
      <c r="A7" s="402"/>
      <c r="B7" s="408"/>
      <c r="C7" s="409" t="s">
        <v>5</v>
      </c>
      <c r="D7" s="410" t="s">
        <v>286</v>
      </c>
      <c r="E7" s="411" t="str">
        <f t="shared" si="0"/>
        <v>Adrenal Cortical Carcinoma</v>
      </c>
      <c r="F7" s="412" t="s">
        <v>287</v>
      </c>
      <c r="G7" s="615" t="s">
        <v>282</v>
      </c>
      <c r="H7" s="580" t="s">
        <v>285</v>
      </c>
    </row>
    <row r="8" spans="1:8">
      <c r="A8" s="402"/>
      <c r="B8" s="408"/>
      <c r="C8" s="409" t="s">
        <v>5</v>
      </c>
      <c r="D8" s="413" t="s">
        <v>288</v>
      </c>
      <c r="E8" s="411" t="str">
        <f t="shared" si="0"/>
        <v>Adrenal Cortical Tumor, Uncertain Malignant Potential</v>
      </c>
      <c r="F8" s="412" t="s">
        <v>289</v>
      </c>
      <c r="G8" s="615" t="s">
        <v>282</v>
      </c>
      <c r="H8" s="580" t="s">
        <v>64</v>
      </c>
    </row>
    <row r="9" spans="1:8">
      <c r="A9" s="402"/>
      <c r="B9" s="414" t="s">
        <v>5</v>
      </c>
      <c r="C9" s="30" t="s">
        <v>290</v>
      </c>
      <c r="D9" s="415"/>
      <c r="E9" s="416" t="str">
        <f>C9</f>
        <v>Thyroid Tumors</v>
      </c>
      <c r="F9" s="406" t="s">
        <v>291</v>
      </c>
      <c r="G9" s="616" t="s">
        <v>57</v>
      </c>
      <c r="H9" s="580" t="s">
        <v>60</v>
      </c>
    </row>
    <row r="10" spans="1:8">
      <c r="A10" s="402"/>
      <c r="B10" s="417"/>
      <c r="C10" s="418" t="s">
        <v>5</v>
      </c>
      <c r="D10" s="419" t="s">
        <v>292</v>
      </c>
      <c r="E10" s="416" t="str">
        <f>D10</f>
        <v>Thyroid Follicular Nodular Disease</v>
      </c>
      <c r="F10" s="406" t="s">
        <v>293</v>
      </c>
      <c r="G10" s="617" t="s">
        <v>282</v>
      </c>
      <c r="H10" s="580" t="s">
        <v>285</v>
      </c>
    </row>
    <row r="11" spans="1:8">
      <c r="A11" s="402"/>
      <c r="B11" s="408"/>
      <c r="C11" s="409" t="s">
        <v>5</v>
      </c>
      <c r="D11" s="410" t="s">
        <v>294</v>
      </c>
      <c r="E11" s="411" t="str">
        <f t="shared" ref="E11:E19" si="1">D11</f>
        <v>Follicular Thyroid Adenoma</v>
      </c>
      <c r="F11" s="412" t="s">
        <v>295</v>
      </c>
      <c r="G11" s="615" t="s">
        <v>282</v>
      </c>
      <c r="H11" s="580" t="s">
        <v>60</v>
      </c>
    </row>
    <row r="12" spans="1:8" ht="16.5">
      <c r="A12" s="402"/>
      <c r="B12" s="408"/>
      <c r="C12" s="409" t="s">
        <v>5</v>
      </c>
      <c r="D12" s="592" t="s">
        <v>296</v>
      </c>
      <c r="E12" s="593" t="str">
        <f t="shared" si="1"/>
        <v>Follicular Thyroid Carcinoma</v>
      </c>
      <c r="F12" s="593" t="s">
        <v>297</v>
      </c>
      <c r="G12" s="618" t="s">
        <v>282</v>
      </c>
      <c r="H12" s="580" t="s">
        <v>285</v>
      </c>
    </row>
    <row r="13" spans="1:8">
      <c r="A13" s="402"/>
      <c r="B13" s="408"/>
      <c r="C13" s="409" t="s">
        <v>5</v>
      </c>
      <c r="D13" s="413" t="s">
        <v>298</v>
      </c>
      <c r="E13" s="411" t="str">
        <f t="shared" si="1"/>
        <v>Oncocytic Thyroid Carcinoma</v>
      </c>
      <c r="F13" s="412" t="s">
        <v>299</v>
      </c>
      <c r="G13" s="615" t="s">
        <v>282</v>
      </c>
      <c r="H13" s="580" t="s">
        <v>285</v>
      </c>
    </row>
    <row r="14" spans="1:8">
      <c r="A14" s="402"/>
      <c r="B14" s="408"/>
      <c r="C14" s="409" t="s">
        <v>5</v>
      </c>
      <c r="D14" s="413" t="s">
        <v>300</v>
      </c>
      <c r="E14" s="411" t="str">
        <f t="shared" si="1"/>
        <v>Medullary Thyroid Carcinoma</v>
      </c>
      <c r="F14" s="412" t="s">
        <v>301</v>
      </c>
      <c r="G14" s="615" t="s">
        <v>282</v>
      </c>
      <c r="H14" s="580" t="s">
        <v>60</v>
      </c>
    </row>
    <row r="15" spans="1:8">
      <c r="A15" s="402"/>
      <c r="B15" s="408"/>
      <c r="C15" s="409" t="s">
        <v>5</v>
      </c>
      <c r="D15" s="413" t="s">
        <v>302</v>
      </c>
      <c r="E15" s="411" t="str">
        <f t="shared" si="1"/>
        <v>Papillary Thyroid Carcinoma</v>
      </c>
      <c r="F15" s="412" t="s">
        <v>303</v>
      </c>
      <c r="G15" s="615" t="s">
        <v>282</v>
      </c>
      <c r="H15" s="580" t="s">
        <v>285</v>
      </c>
    </row>
    <row r="16" spans="1:8">
      <c r="A16" s="402"/>
      <c r="B16" s="408"/>
      <c r="C16" s="409" t="s">
        <v>5</v>
      </c>
      <c r="D16" s="413" t="s">
        <v>304</v>
      </c>
      <c r="E16" s="411" t="str">
        <f t="shared" si="1"/>
        <v>Non-invasive Follicular Thyroid Neoplasm with Papillary-like Nuclear Features</v>
      </c>
      <c r="F16" s="412" t="s">
        <v>305</v>
      </c>
      <c r="G16" s="615" t="s">
        <v>282</v>
      </c>
      <c r="H16" s="580" t="s">
        <v>285</v>
      </c>
    </row>
    <row r="17" spans="1:8">
      <c r="A17" s="402"/>
      <c r="B17" s="408"/>
      <c r="C17" s="409" t="s">
        <v>5</v>
      </c>
      <c r="D17" s="413" t="s">
        <v>306</v>
      </c>
      <c r="E17" s="411" t="str">
        <f t="shared" si="1"/>
        <v>Oncocytic Adenoma of the Thyroid Gland</v>
      </c>
      <c r="F17" s="412" t="s">
        <v>307</v>
      </c>
      <c r="G17" s="615" t="s">
        <v>282</v>
      </c>
      <c r="H17" s="580" t="s">
        <v>285</v>
      </c>
    </row>
    <row r="18" spans="1:8">
      <c r="A18" s="402"/>
      <c r="B18" s="408"/>
      <c r="C18" s="409" t="s">
        <v>5</v>
      </c>
      <c r="D18" s="413" t="s">
        <v>308</v>
      </c>
      <c r="E18" s="411" t="str">
        <f t="shared" si="1"/>
        <v>Poorly Differentiated Thyroid Carcinoma</v>
      </c>
      <c r="F18" s="412" t="s">
        <v>309</v>
      </c>
      <c r="G18" s="615" t="s">
        <v>282</v>
      </c>
      <c r="H18" s="580" t="s">
        <v>285</v>
      </c>
    </row>
    <row r="19" spans="1:8">
      <c r="A19" s="402"/>
      <c r="B19" s="408"/>
      <c r="C19" s="409" t="s">
        <v>5</v>
      </c>
      <c r="D19" s="413" t="s">
        <v>310</v>
      </c>
      <c r="E19" s="411" t="str">
        <f t="shared" si="1"/>
        <v>Spindle Epithelial Tumor with Thymus-like Elements</v>
      </c>
      <c r="F19" s="412" t="s">
        <v>311</v>
      </c>
      <c r="G19" s="615" t="s">
        <v>282</v>
      </c>
      <c r="H19" s="580" t="s">
        <v>285</v>
      </c>
    </row>
    <row r="20" spans="1:8" ht="16.5">
      <c r="A20" s="402"/>
      <c r="B20" s="408"/>
      <c r="C20" s="409" t="s">
        <v>5</v>
      </c>
      <c r="D20" s="420" t="s">
        <v>312</v>
      </c>
      <c r="E20" s="411" t="s">
        <v>312</v>
      </c>
      <c r="F20" s="412" t="s">
        <v>313</v>
      </c>
      <c r="G20" s="615" t="s">
        <v>282</v>
      </c>
      <c r="H20" s="580" t="s">
        <v>64</v>
      </c>
    </row>
    <row r="21" spans="1:8">
      <c r="A21" s="9"/>
      <c r="B21" s="403" t="s">
        <v>5</v>
      </c>
      <c r="C21" s="29" t="s">
        <v>314</v>
      </c>
      <c r="D21" s="421"/>
      <c r="E21" s="407" t="str">
        <f>C21</f>
        <v>Adrenal Medulla and Extra-adrenal Paraganglia Tumors</v>
      </c>
      <c r="F21" s="407" t="s">
        <v>315</v>
      </c>
      <c r="G21" s="579" t="s">
        <v>57</v>
      </c>
      <c r="H21" s="580" t="s">
        <v>60</v>
      </c>
    </row>
    <row r="22" spans="1:8">
      <c r="A22" s="402"/>
      <c r="B22" s="422"/>
      <c r="C22" s="409" t="s">
        <v>5</v>
      </c>
      <c r="D22" s="410" t="s">
        <v>316</v>
      </c>
      <c r="E22" s="411" t="str">
        <f>D22</f>
        <v>Pheochromocytoma</v>
      </c>
      <c r="F22" s="412" t="s">
        <v>317</v>
      </c>
      <c r="G22" s="615" t="s">
        <v>282</v>
      </c>
      <c r="H22" s="580" t="s">
        <v>60</v>
      </c>
    </row>
    <row r="23" spans="1:8">
      <c r="A23" s="423"/>
      <c r="B23" s="424"/>
      <c r="C23" s="425" t="s">
        <v>5</v>
      </c>
      <c r="D23" s="309" t="s">
        <v>318</v>
      </c>
      <c r="E23" s="31" t="s">
        <v>318</v>
      </c>
      <c r="F23" s="412" t="s">
        <v>319</v>
      </c>
      <c r="G23" s="619" t="s">
        <v>282</v>
      </c>
      <c r="H23" s="580" t="s">
        <v>60</v>
      </c>
    </row>
    <row r="24" spans="1:8">
      <c r="A24" s="9" t="s">
        <v>5</v>
      </c>
      <c r="B24" s="39" t="s">
        <v>320</v>
      </c>
      <c r="C24" s="40"/>
      <c r="D24" s="426"/>
      <c r="E24" s="427" t="str">
        <f>B24</f>
        <v>Peripheral Neuroblastic Tumors</v>
      </c>
      <c r="F24" s="427" t="s">
        <v>321</v>
      </c>
      <c r="G24" s="620" t="s">
        <v>57</v>
      </c>
      <c r="H24" s="654" t="s">
        <v>60</v>
      </c>
    </row>
    <row r="25" spans="1:8">
      <c r="A25" s="402"/>
      <c r="B25" s="414" t="s">
        <v>5</v>
      </c>
      <c r="C25" s="428" t="s">
        <v>322</v>
      </c>
      <c r="D25" s="429"/>
      <c r="E25" s="430" t="str">
        <f>C25</f>
        <v>Ganglioneuroblastoma, Intermixed</v>
      </c>
      <c r="F25" s="406" t="s">
        <v>323</v>
      </c>
      <c r="G25" s="615" t="s">
        <v>282</v>
      </c>
      <c r="H25" s="580" t="s">
        <v>60</v>
      </c>
    </row>
    <row r="26" spans="1:8">
      <c r="A26" s="402"/>
      <c r="B26" s="422" t="s">
        <v>5</v>
      </c>
      <c r="C26" s="432" t="s">
        <v>324</v>
      </c>
      <c r="D26" s="431"/>
      <c r="E26" s="433" t="str">
        <f>C26</f>
        <v>Ganglioneuroblastoma, Nodular</v>
      </c>
      <c r="F26" s="412" t="s">
        <v>325</v>
      </c>
      <c r="G26" s="615" t="s">
        <v>282</v>
      </c>
      <c r="H26" s="580" t="s">
        <v>60</v>
      </c>
    </row>
    <row r="27" spans="1:8">
      <c r="A27" s="423"/>
      <c r="B27" s="422" t="s">
        <v>5</v>
      </c>
      <c r="C27" s="432" t="s">
        <v>326</v>
      </c>
      <c r="D27" s="431"/>
      <c r="E27" s="433" t="str">
        <f>C27</f>
        <v>Ganglioneuroma</v>
      </c>
      <c r="F27" s="412" t="s">
        <v>327</v>
      </c>
      <c r="G27" s="615" t="s">
        <v>282</v>
      </c>
      <c r="H27" s="580" t="s">
        <v>60</v>
      </c>
    </row>
    <row r="28" spans="1:8">
      <c r="A28" s="423"/>
      <c r="B28" s="434" t="s">
        <v>5</v>
      </c>
      <c r="C28" s="435" t="s">
        <v>328</v>
      </c>
      <c r="D28" s="436"/>
      <c r="E28" s="437" t="s">
        <v>328</v>
      </c>
      <c r="F28" s="438" t="s">
        <v>329</v>
      </c>
      <c r="G28" s="621" t="s">
        <v>328</v>
      </c>
      <c r="H28" s="581" t="s">
        <v>60</v>
      </c>
    </row>
    <row r="29" spans="1:8">
      <c r="A29" s="9" t="s">
        <v>5</v>
      </c>
      <c r="B29" s="310" t="s">
        <v>330</v>
      </c>
      <c r="C29" s="439"/>
      <c r="D29" s="440"/>
      <c r="E29" s="441" t="str">
        <f>B29</f>
        <v>Renal Tumors</v>
      </c>
      <c r="F29" s="441" t="s">
        <v>331</v>
      </c>
      <c r="G29" s="622" t="s">
        <v>57</v>
      </c>
      <c r="H29" s="655" t="s">
        <v>60</v>
      </c>
    </row>
    <row r="30" spans="1:8">
      <c r="A30" s="402"/>
      <c r="B30" s="442" t="s">
        <v>5</v>
      </c>
      <c r="C30" s="443" t="s">
        <v>332</v>
      </c>
      <c r="D30" s="444"/>
      <c r="E30" s="445" t="str">
        <f>C30</f>
        <v>Wilms Tumor</v>
      </c>
      <c r="F30" s="445" t="s">
        <v>333</v>
      </c>
      <c r="G30" s="623" t="s">
        <v>330</v>
      </c>
      <c r="H30" s="656" t="s">
        <v>285</v>
      </c>
    </row>
    <row r="31" spans="1:8">
      <c r="A31" s="402"/>
      <c r="B31" s="442" t="s">
        <v>5</v>
      </c>
      <c r="C31" s="443" t="s">
        <v>334</v>
      </c>
      <c r="D31" s="444"/>
      <c r="E31" s="445" t="str">
        <f>C31</f>
        <v>Nephrogenic Rest</v>
      </c>
      <c r="F31" s="445" t="s">
        <v>335</v>
      </c>
      <c r="G31" s="624" t="s">
        <v>330</v>
      </c>
      <c r="H31" s="657" t="s">
        <v>285</v>
      </c>
    </row>
    <row r="32" spans="1:8">
      <c r="A32" s="402"/>
      <c r="B32" s="442" t="s">
        <v>5</v>
      </c>
      <c r="C32" s="443" t="s">
        <v>336</v>
      </c>
      <c r="D32" s="444"/>
      <c r="E32" s="445" t="str">
        <f t="shared" ref="E32:E45" si="2">C32</f>
        <v>Pediatric Cystic Nephroma</v>
      </c>
      <c r="F32" s="445" t="s">
        <v>337</v>
      </c>
      <c r="G32" s="624" t="s">
        <v>330</v>
      </c>
      <c r="H32" s="657" t="s">
        <v>60</v>
      </c>
    </row>
    <row r="33" spans="1:8">
      <c r="A33" s="402"/>
      <c r="B33" s="442" t="s">
        <v>5</v>
      </c>
      <c r="C33" s="443" t="s">
        <v>338</v>
      </c>
      <c r="D33" s="444"/>
      <c r="E33" s="445" t="str">
        <f>C33</f>
        <v>Nephroblastic Process</v>
      </c>
      <c r="F33" s="445" t="s">
        <v>339</v>
      </c>
      <c r="G33" s="624" t="s">
        <v>330</v>
      </c>
      <c r="H33" s="656" t="s">
        <v>64</v>
      </c>
    </row>
    <row r="34" spans="1:8">
      <c r="A34" s="402"/>
      <c r="B34" s="442" t="s">
        <v>5</v>
      </c>
      <c r="C34" s="443" t="s">
        <v>340</v>
      </c>
      <c r="D34" s="444"/>
      <c r="E34" s="445" t="str">
        <f t="shared" si="2"/>
        <v>Chromophobe Renal Cell Carcinoma</v>
      </c>
      <c r="F34" s="445" t="s">
        <v>341</v>
      </c>
      <c r="G34" s="624" t="s">
        <v>330</v>
      </c>
      <c r="H34" s="657" t="s">
        <v>285</v>
      </c>
    </row>
    <row r="35" spans="1:8">
      <c r="A35" s="402"/>
      <c r="B35" s="442" t="s">
        <v>5</v>
      </c>
      <c r="C35" s="443" t="s">
        <v>342</v>
      </c>
      <c r="D35" s="444"/>
      <c r="E35" s="445" t="str">
        <f>C35</f>
        <v>Eosinophilic Solid and Cystic Renal Cell Carcinoma</v>
      </c>
      <c r="F35" s="445" t="s">
        <v>343</v>
      </c>
      <c r="G35" s="624" t="s">
        <v>330</v>
      </c>
      <c r="H35" s="657" t="s">
        <v>60</v>
      </c>
    </row>
    <row r="36" spans="1:8">
      <c r="A36" s="402"/>
      <c r="B36" s="442" t="s">
        <v>5</v>
      </c>
      <c r="C36" s="443" t="s">
        <v>344</v>
      </c>
      <c r="D36" s="444"/>
      <c r="E36" s="445" t="str">
        <f>C36</f>
        <v>Papillary Renal Cell Carcinoma</v>
      </c>
      <c r="F36" s="445" t="s">
        <v>345</v>
      </c>
      <c r="G36" s="624" t="s">
        <v>330</v>
      </c>
      <c r="H36" s="657" t="s">
        <v>285</v>
      </c>
    </row>
    <row r="37" spans="1:8">
      <c r="A37" s="402"/>
      <c r="B37" s="442" t="s">
        <v>5</v>
      </c>
      <c r="C37" s="446" t="s">
        <v>346</v>
      </c>
      <c r="D37" s="444"/>
      <c r="E37" s="445" t="str">
        <f>C37</f>
        <v>Renal Cell Carcinoma with MiT Translocations</v>
      </c>
      <c r="F37" s="445" t="s">
        <v>347</v>
      </c>
      <c r="G37" s="624" t="s">
        <v>330</v>
      </c>
      <c r="H37" s="656" t="s">
        <v>60</v>
      </c>
    </row>
    <row r="38" spans="1:8">
      <c r="A38" s="402"/>
      <c r="B38" s="442" t="s">
        <v>5</v>
      </c>
      <c r="C38" s="446" t="s">
        <v>348</v>
      </c>
      <c r="D38" s="444"/>
      <c r="E38" s="445" t="str">
        <f>C38</f>
        <v>Renal Cell Carcinoma, NOS</v>
      </c>
      <c r="F38" s="445" t="s">
        <v>349</v>
      </c>
      <c r="G38" s="624" t="s">
        <v>330</v>
      </c>
      <c r="H38" s="656" t="s">
        <v>285</v>
      </c>
    </row>
    <row r="39" spans="1:8">
      <c r="A39" s="402"/>
      <c r="B39" s="442" t="s">
        <v>5</v>
      </c>
      <c r="C39" s="443" t="s">
        <v>350</v>
      </c>
      <c r="D39" s="444"/>
      <c r="E39" s="445" t="str">
        <f t="shared" si="2"/>
        <v>Clear Cell Sarcoma of the Kidney</v>
      </c>
      <c r="F39" s="445" t="s">
        <v>351</v>
      </c>
      <c r="G39" s="624" t="s">
        <v>330</v>
      </c>
      <c r="H39" s="657" t="s">
        <v>60</v>
      </c>
    </row>
    <row r="40" spans="1:8">
      <c r="A40" s="402"/>
      <c r="B40" s="442" t="s">
        <v>5</v>
      </c>
      <c r="C40" s="443" t="s">
        <v>352</v>
      </c>
      <c r="D40" s="444"/>
      <c r="E40" s="445" t="str">
        <f t="shared" si="2"/>
        <v>Mesoblastic Nephroma</v>
      </c>
      <c r="F40" s="445" t="s">
        <v>353</v>
      </c>
      <c r="G40" s="624" t="s">
        <v>330</v>
      </c>
      <c r="H40" s="657" t="s">
        <v>60</v>
      </c>
    </row>
    <row r="41" spans="1:8">
      <c r="A41" s="402"/>
      <c r="B41" s="442" t="s">
        <v>5</v>
      </c>
      <c r="C41" s="443" t="s">
        <v>354</v>
      </c>
      <c r="D41" s="444"/>
      <c r="E41" s="445" t="str">
        <f>C41</f>
        <v>Juxtaglomerular Cell Tumor</v>
      </c>
      <c r="F41" s="445" t="s">
        <v>355</v>
      </c>
      <c r="G41" s="624" t="s">
        <v>330</v>
      </c>
      <c r="H41" s="657" t="s">
        <v>285</v>
      </c>
    </row>
    <row r="42" spans="1:8">
      <c r="A42" s="402"/>
      <c r="B42" s="442" t="s">
        <v>5</v>
      </c>
      <c r="C42" s="443" t="s">
        <v>356</v>
      </c>
      <c r="D42" s="444"/>
      <c r="E42" s="445" t="str">
        <f t="shared" si="2"/>
        <v>Oncocytoma of the Kidney</v>
      </c>
      <c r="F42" s="445" t="s">
        <v>357</v>
      </c>
      <c r="G42" s="624" t="s">
        <v>330</v>
      </c>
      <c r="H42" s="657" t="s">
        <v>285</v>
      </c>
    </row>
    <row r="43" spans="1:8">
      <c r="A43" s="402"/>
      <c r="B43" s="442" t="s">
        <v>5</v>
      </c>
      <c r="C43" s="443" t="s">
        <v>358</v>
      </c>
      <c r="D43" s="444"/>
      <c r="E43" s="445" t="str">
        <f t="shared" si="2"/>
        <v>Metanephric Adenofibroma</v>
      </c>
      <c r="F43" s="445" t="s">
        <v>359</v>
      </c>
      <c r="G43" s="624" t="s">
        <v>330</v>
      </c>
      <c r="H43" s="657" t="s">
        <v>60</v>
      </c>
    </row>
    <row r="44" spans="1:8">
      <c r="A44" s="402"/>
      <c r="B44" s="442" t="s">
        <v>5</v>
      </c>
      <c r="C44" s="443" t="s">
        <v>360</v>
      </c>
      <c r="D44" s="444"/>
      <c r="E44" s="445" t="str">
        <f t="shared" si="2"/>
        <v>Angiomyolipoma</v>
      </c>
      <c r="F44" s="445" t="s">
        <v>361</v>
      </c>
      <c r="G44" s="624" t="s">
        <v>330</v>
      </c>
      <c r="H44" s="656" t="s">
        <v>285</v>
      </c>
    </row>
    <row r="45" spans="1:8">
      <c r="A45" s="402"/>
      <c r="B45" s="442" t="s">
        <v>5</v>
      </c>
      <c r="C45" s="443" t="s">
        <v>362</v>
      </c>
      <c r="D45" s="444"/>
      <c r="E45" s="445" t="str">
        <f t="shared" si="2"/>
        <v>Renal Medullary Carcinoma</v>
      </c>
      <c r="F45" s="445" t="s">
        <v>363</v>
      </c>
      <c r="G45" s="624" t="s">
        <v>330</v>
      </c>
      <c r="H45" s="656" t="s">
        <v>60</v>
      </c>
    </row>
    <row r="46" spans="1:8">
      <c r="A46" s="402"/>
      <c r="B46" s="442" t="s">
        <v>5</v>
      </c>
      <c r="C46" s="443" t="s">
        <v>364</v>
      </c>
      <c r="D46" s="444"/>
      <c r="E46" s="445" t="s">
        <v>364</v>
      </c>
      <c r="F46" s="445" t="s">
        <v>365</v>
      </c>
      <c r="G46" s="625" t="s">
        <v>330</v>
      </c>
      <c r="H46" s="656" t="s">
        <v>64</v>
      </c>
    </row>
    <row r="47" spans="1:8">
      <c r="A47" s="9" t="s">
        <v>5</v>
      </c>
      <c r="B47" s="447" t="s">
        <v>366</v>
      </c>
      <c r="C47" s="448"/>
      <c r="D47" s="449"/>
      <c r="E47" s="450" t="str">
        <f>B47</f>
        <v>Bone and Cartilage</v>
      </c>
      <c r="F47" s="450" t="s">
        <v>367</v>
      </c>
      <c r="G47" s="626" t="s">
        <v>57</v>
      </c>
      <c r="H47" s="658" t="s">
        <v>285</v>
      </c>
    </row>
    <row r="48" spans="1:8">
      <c r="B48" s="451" t="s">
        <v>5</v>
      </c>
      <c r="C48" s="452" t="s">
        <v>368</v>
      </c>
      <c r="D48" s="452"/>
      <c r="E48" s="453" t="s">
        <v>368</v>
      </c>
      <c r="F48" s="454" t="s">
        <v>369</v>
      </c>
      <c r="G48" s="627" t="s">
        <v>368</v>
      </c>
      <c r="H48" s="659" t="s">
        <v>60</v>
      </c>
    </row>
    <row r="49" spans="1:8">
      <c r="A49" s="402"/>
      <c r="B49" s="455" t="s">
        <v>5</v>
      </c>
      <c r="C49" s="456" t="s">
        <v>370</v>
      </c>
      <c r="D49" s="456"/>
      <c r="E49" s="457" t="s">
        <v>370</v>
      </c>
      <c r="F49" s="458" t="s">
        <v>371</v>
      </c>
      <c r="G49" s="628" t="s">
        <v>372</v>
      </c>
      <c r="H49" s="660" t="s">
        <v>60</v>
      </c>
    </row>
    <row r="50" spans="1:8">
      <c r="A50" s="402"/>
      <c r="B50" s="455" t="s">
        <v>5</v>
      </c>
      <c r="C50" s="456" t="s">
        <v>373</v>
      </c>
      <c r="D50" s="456"/>
      <c r="E50" s="457" t="s">
        <v>373</v>
      </c>
      <c r="F50" s="458" t="s">
        <v>374</v>
      </c>
      <c r="G50" s="628" t="s">
        <v>372</v>
      </c>
      <c r="H50" s="660" t="s">
        <v>60</v>
      </c>
    </row>
    <row r="51" spans="1:8">
      <c r="A51" s="402"/>
      <c r="B51" s="455" t="s">
        <v>5</v>
      </c>
      <c r="C51" s="456" t="s">
        <v>375</v>
      </c>
      <c r="D51" s="456"/>
      <c r="E51" s="457" t="str">
        <f t="shared" ref="E51:E61" si="3">C51</f>
        <v>Chordoma</v>
      </c>
      <c r="F51" s="458" t="s">
        <v>376</v>
      </c>
      <c r="G51" s="628" t="s">
        <v>372</v>
      </c>
      <c r="H51" s="660" t="s">
        <v>285</v>
      </c>
    </row>
    <row r="52" spans="1:8">
      <c r="A52" s="402"/>
      <c r="B52" s="455" t="s">
        <v>5</v>
      </c>
      <c r="C52" s="456" t="s">
        <v>377</v>
      </c>
      <c r="D52" s="456"/>
      <c r="E52" s="457" t="str">
        <f t="shared" si="3"/>
        <v>Aneurysmal Bone Cyst</v>
      </c>
      <c r="F52" s="458" t="s">
        <v>378</v>
      </c>
      <c r="G52" s="628" t="s">
        <v>372</v>
      </c>
      <c r="H52" s="660" t="s">
        <v>60</v>
      </c>
    </row>
    <row r="53" spans="1:8">
      <c r="A53" s="402"/>
      <c r="B53" s="455" t="s">
        <v>5</v>
      </c>
      <c r="C53" s="456" t="s">
        <v>379</v>
      </c>
      <c r="D53" s="456"/>
      <c r="E53" s="457" t="str">
        <f t="shared" si="3"/>
        <v>Giant Cell Tumor of Bone</v>
      </c>
      <c r="F53" s="458" t="s">
        <v>380</v>
      </c>
      <c r="G53" s="628" t="s">
        <v>372</v>
      </c>
      <c r="H53" s="660" t="s">
        <v>60</v>
      </c>
    </row>
    <row r="54" spans="1:8">
      <c r="A54" s="402"/>
      <c r="B54" s="455" t="s">
        <v>5</v>
      </c>
      <c r="C54" s="456" t="s">
        <v>381</v>
      </c>
      <c r="D54" s="456"/>
      <c r="E54" s="457" t="str">
        <f t="shared" si="3"/>
        <v>Osteofibrous Dysplasia</v>
      </c>
      <c r="F54" s="458" t="s">
        <v>382</v>
      </c>
      <c r="G54" s="628" t="s">
        <v>372</v>
      </c>
      <c r="H54" s="660" t="s">
        <v>60</v>
      </c>
    </row>
    <row r="55" spans="1:8">
      <c r="A55" s="402"/>
      <c r="B55" s="455" t="s">
        <v>5</v>
      </c>
      <c r="C55" s="456" t="s">
        <v>383</v>
      </c>
      <c r="D55" s="456"/>
      <c r="E55" s="457" t="str">
        <f t="shared" si="3"/>
        <v>Fibrous Dysplasia</v>
      </c>
      <c r="F55" s="458" t="s">
        <v>384</v>
      </c>
      <c r="G55" s="628" t="s">
        <v>372</v>
      </c>
      <c r="H55" s="660" t="s">
        <v>60</v>
      </c>
    </row>
    <row r="56" spans="1:8">
      <c r="A56" s="402"/>
      <c r="B56" s="455" t="s">
        <v>5</v>
      </c>
      <c r="C56" s="456" t="s">
        <v>385</v>
      </c>
      <c r="D56" s="456"/>
      <c r="E56" s="457" t="str">
        <f t="shared" si="3"/>
        <v>Chondrosarcoma</v>
      </c>
      <c r="F56" s="458" t="s">
        <v>386</v>
      </c>
      <c r="G56" s="628" t="s">
        <v>372</v>
      </c>
      <c r="H56" s="660" t="s">
        <v>60</v>
      </c>
    </row>
    <row r="57" spans="1:8">
      <c r="A57" s="402"/>
      <c r="B57" s="455" t="s">
        <v>5</v>
      </c>
      <c r="C57" s="456" t="s">
        <v>387</v>
      </c>
      <c r="D57" s="456"/>
      <c r="E57" s="457" t="str">
        <f t="shared" si="3"/>
        <v>Bizarre Parosteal Osteochondromatous Proliferation</v>
      </c>
      <c r="F57" s="458" t="s">
        <v>388</v>
      </c>
      <c r="G57" s="628" t="s">
        <v>372</v>
      </c>
      <c r="H57" s="660" t="s">
        <v>60</v>
      </c>
    </row>
    <row r="58" spans="1:8">
      <c r="A58" s="402"/>
      <c r="B58" s="455" t="s">
        <v>5</v>
      </c>
      <c r="C58" s="456" t="s">
        <v>389</v>
      </c>
      <c r="D58" s="456"/>
      <c r="E58" s="457" t="str">
        <f t="shared" si="3"/>
        <v>Mesenchymal Chondrosarcoma</v>
      </c>
      <c r="F58" s="458" t="s">
        <v>390</v>
      </c>
      <c r="G58" s="628" t="s">
        <v>372</v>
      </c>
      <c r="H58" s="660" t="s">
        <v>60</v>
      </c>
    </row>
    <row r="59" spans="1:8">
      <c r="A59" s="402"/>
      <c r="B59" s="455" t="s">
        <v>5</v>
      </c>
      <c r="C59" s="456" t="s">
        <v>391</v>
      </c>
      <c r="D59" s="456"/>
      <c r="E59" s="457" t="str">
        <f>C59</f>
        <v>Chondromyxoid Fibroma</v>
      </c>
      <c r="F59" s="458" t="s">
        <v>392</v>
      </c>
      <c r="G59" s="628" t="s">
        <v>372</v>
      </c>
      <c r="H59" s="660" t="s">
        <v>60</v>
      </c>
    </row>
    <row r="60" spans="1:8">
      <c r="A60" s="402"/>
      <c r="B60" s="455" t="s">
        <v>5</v>
      </c>
      <c r="C60" s="456" t="s">
        <v>393</v>
      </c>
      <c r="D60" s="456"/>
      <c r="E60" s="457" t="str">
        <f>C60</f>
        <v>Adamantinoma</v>
      </c>
      <c r="F60" s="458" t="s">
        <v>394</v>
      </c>
      <c r="G60" s="628" t="s">
        <v>372</v>
      </c>
      <c r="H60" s="660" t="s">
        <v>60</v>
      </c>
    </row>
    <row r="61" spans="1:8">
      <c r="A61" s="402"/>
      <c r="B61" s="459" t="s">
        <v>5</v>
      </c>
      <c r="C61" s="460" t="s">
        <v>395</v>
      </c>
      <c r="D61" s="460"/>
      <c r="E61" s="461" t="str">
        <f t="shared" si="3"/>
        <v>Chondroblastoma</v>
      </c>
      <c r="F61" s="462" t="s">
        <v>396</v>
      </c>
      <c r="G61" s="629" t="s">
        <v>372</v>
      </c>
      <c r="H61" s="660" t="s">
        <v>60</v>
      </c>
    </row>
    <row r="62" spans="1:8">
      <c r="A62" s="463" t="s">
        <v>5</v>
      </c>
      <c r="B62" s="41" t="s">
        <v>397</v>
      </c>
      <c r="C62" s="464"/>
      <c r="D62" s="42"/>
      <c r="E62" s="465" t="str">
        <f>B62</f>
        <v>Undifferentiated Tumors</v>
      </c>
      <c r="F62" s="465" t="s">
        <v>398</v>
      </c>
      <c r="G62" s="630" t="s">
        <v>57</v>
      </c>
      <c r="H62" s="661" t="s">
        <v>285</v>
      </c>
    </row>
    <row r="63" spans="1:8">
      <c r="B63" s="466" t="s">
        <v>5</v>
      </c>
      <c r="C63" s="467" t="s">
        <v>399</v>
      </c>
      <c r="D63" s="467"/>
      <c r="E63" s="468" t="str">
        <f t="shared" ref="E63:E65" si="4">C63</f>
        <v>Ewing Sarcoma</v>
      </c>
      <c r="F63" s="469" t="s">
        <v>400</v>
      </c>
      <c r="G63" s="631" t="s">
        <v>399</v>
      </c>
      <c r="H63" s="662" t="s">
        <v>60</v>
      </c>
    </row>
    <row r="64" spans="1:8">
      <c r="B64" s="470" t="s">
        <v>5</v>
      </c>
      <c r="C64" s="471" t="s">
        <v>401</v>
      </c>
      <c r="D64" s="471"/>
      <c r="E64" s="472" t="str">
        <f t="shared" si="4"/>
        <v>Round cell sarcoma with EWSR1::non-ETS fusions</v>
      </c>
      <c r="F64" s="473" t="s">
        <v>402</v>
      </c>
      <c r="G64" s="632" t="s">
        <v>403</v>
      </c>
      <c r="H64" s="663" t="s">
        <v>60</v>
      </c>
    </row>
    <row r="65" spans="1:8">
      <c r="A65" s="402"/>
      <c r="B65" s="470" t="s">
        <v>5</v>
      </c>
      <c r="C65" s="471" t="s">
        <v>404</v>
      </c>
      <c r="D65" s="471"/>
      <c r="E65" s="472" t="str">
        <f t="shared" si="4"/>
        <v>Sarcoma with BCOR genetic alterations</v>
      </c>
      <c r="F65" s="473" t="s">
        <v>405</v>
      </c>
      <c r="G65" s="632" t="s">
        <v>403</v>
      </c>
      <c r="H65" s="663" t="s">
        <v>60</v>
      </c>
    </row>
    <row r="66" spans="1:8">
      <c r="A66" s="423"/>
      <c r="B66" s="470" t="s">
        <v>5</v>
      </c>
      <c r="C66" s="471" t="s">
        <v>406</v>
      </c>
      <c r="D66" s="471"/>
      <c r="E66" s="472" t="s">
        <v>406</v>
      </c>
      <c r="F66" s="473" t="s">
        <v>407</v>
      </c>
      <c r="G66" s="632" t="s">
        <v>403</v>
      </c>
      <c r="H66" s="663" t="s">
        <v>60</v>
      </c>
    </row>
    <row r="67" spans="1:8">
      <c r="A67" s="423"/>
      <c r="B67" s="470" t="s">
        <v>5</v>
      </c>
      <c r="C67" s="471" t="s">
        <v>408</v>
      </c>
      <c r="D67" s="471"/>
      <c r="E67" s="472" t="str">
        <f>C67</f>
        <v>Sarcoma, NOS</v>
      </c>
      <c r="F67" s="473" t="s">
        <v>409</v>
      </c>
      <c r="G67" s="632" t="s">
        <v>403</v>
      </c>
      <c r="H67" s="663" t="s">
        <v>64</v>
      </c>
    </row>
    <row r="68" spans="1:8">
      <c r="A68" s="9" t="s">
        <v>5</v>
      </c>
      <c r="B68" s="32" t="s">
        <v>403</v>
      </c>
      <c r="C68" s="33"/>
      <c r="D68" s="474"/>
      <c r="E68" s="475" t="str">
        <f>B68</f>
        <v>Soft Tissue Tumors</v>
      </c>
      <c r="F68" s="475" t="s">
        <v>410</v>
      </c>
      <c r="G68" s="633" t="s">
        <v>57</v>
      </c>
      <c r="H68" s="664"/>
    </row>
    <row r="69" spans="1:8">
      <c r="B69" s="476" t="s">
        <v>5</v>
      </c>
      <c r="C69" s="477" t="s">
        <v>411</v>
      </c>
      <c r="D69" s="478"/>
      <c r="E69" s="479" t="str">
        <f>C69</f>
        <v>Rhabdoid Tumors</v>
      </c>
      <c r="F69" s="479" t="s">
        <v>412</v>
      </c>
      <c r="G69" s="634" t="s">
        <v>411</v>
      </c>
      <c r="H69" s="665" t="s">
        <v>64</v>
      </c>
    </row>
    <row r="70" spans="1:8">
      <c r="B70" s="595" t="s">
        <v>5</v>
      </c>
      <c r="C70" s="596" t="s">
        <v>413</v>
      </c>
      <c r="D70" s="597"/>
      <c r="E70" s="598" t="str">
        <f>C70</f>
        <v>So-called Fibrohistiocytic Tumors</v>
      </c>
      <c r="F70" s="598" t="s">
        <v>414</v>
      </c>
      <c r="G70" s="635" t="s">
        <v>57</v>
      </c>
      <c r="H70" s="661" t="s">
        <v>60</v>
      </c>
    </row>
    <row r="71" spans="1:8">
      <c r="B71" s="599"/>
      <c r="C71" s="600" t="s">
        <v>5</v>
      </c>
      <c r="D71" s="601" t="s">
        <v>415</v>
      </c>
      <c r="E71" s="602" t="str">
        <f t="shared" ref="E71" si="5">D71</f>
        <v>Tenosynovial Giant Cell Tumor</v>
      </c>
      <c r="F71" s="602" t="s">
        <v>416</v>
      </c>
      <c r="G71" s="636" t="s">
        <v>403</v>
      </c>
      <c r="H71" s="663" t="s">
        <v>60</v>
      </c>
    </row>
    <row r="72" spans="1:8">
      <c r="B72" s="480" t="s">
        <v>5</v>
      </c>
      <c r="C72" s="34" t="s">
        <v>417</v>
      </c>
      <c r="D72" s="481"/>
      <c r="E72" s="482" t="str">
        <f>C72</f>
        <v>Fibroblastic and Myofibroblastic Tumors</v>
      </c>
      <c r="F72" s="482" t="s">
        <v>418</v>
      </c>
      <c r="G72" s="637" t="s">
        <v>57</v>
      </c>
      <c r="H72" s="661" t="s">
        <v>60</v>
      </c>
    </row>
    <row r="73" spans="1:8">
      <c r="A73" s="423"/>
      <c r="B73" s="483"/>
      <c r="C73" s="484" t="s">
        <v>5</v>
      </c>
      <c r="D73" s="485" t="s">
        <v>419</v>
      </c>
      <c r="E73" s="473" t="str">
        <f>D73</f>
        <v>Inflammatory Myofibroblastic Tumor</v>
      </c>
      <c r="F73" s="473" t="s">
        <v>420</v>
      </c>
      <c r="G73" s="632" t="s">
        <v>403</v>
      </c>
      <c r="H73" s="663" t="s">
        <v>60</v>
      </c>
    </row>
    <row r="74" spans="1:8">
      <c r="A74" s="402"/>
      <c r="B74" s="483"/>
      <c r="C74" s="484" t="s">
        <v>5</v>
      </c>
      <c r="D74" s="486" t="s">
        <v>421</v>
      </c>
      <c r="E74" s="473" t="str">
        <f t="shared" ref="E74:E91" si="6">D74</f>
        <v>Infantile Fibrosarcoma</v>
      </c>
      <c r="F74" s="473" t="s">
        <v>422</v>
      </c>
      <c r="G74" s="632" t="s">
        <v>403</v>
      </c>
      <c r="H74" s="663" t="s">
        <v>60</v>
      </c>
    </row>
    <row r="75" spans="1:8">
      <c r="A75" s="402"/>
      <c r="B75" s="483"/>
      <c r="C75" s="484" t="s">
        <v>5</v>
      </c>
      <c r="D75" s="486" t="s">
        <v>423</v>
      </c>
      <c r="E75" s="473" t="str">
        <f t="shared" si="6"/>
        <v>Low-grade Fibromyxoid Sarcoma</v>
      </c>
      <c r="F75" s="473" t="s">
        <v>424</v>
      </c>
      <c r="G75" s="632" t="s">
        <v>403</v>
      </c>
      <c r="H75" s="663" t="s">
        <v>60</v>
      </c>
    </row>
    <row r="76" spans="1:8">
      <c r="A76" s="402"/>
      <c r="B76" s="483"/>
      <c r="C76" s="484" t="s">
        <v>5</v>
      </c>
      <c r="D76" s="486" t="s">
        <v>425</v>
      </c>
      <c r="E76" s="473" t="str">
        <f t="shared" si="6"/>
        <v>Dermatofibrosarcoma Protuberans</v>
      </c>
      <c r="F76" s="473" t="s">
        <v>426</v>
      </c>
      <c r="G76" s="632" t="s">
        <v>403</v>
      </c>
      <c r="H76" s="663" t="s">
        <v>60</v>
      </c>
    </row>
    <row r="77" spans="1:8">
      <c r="A77" s="402"/>
      <c r="B77" s="483"/>
      <c r="C77" s="484" t="s">
        <v>5</v>
      </c>
      <c r="D77" s="485" t="s">
        <v>427</v>
      </c>
      <c r="E77" s="473" t="str">
        <f t="shared" si="6"/>
        <v>Fibroma, NOS</v>
      </c>
      <c r="F77" s="473" t="s">
        <v>428</v>
      </c>
      <c r="G77" s="632" t="s">
        <v>403</v>
      </c>
      <c r="H77" s="663" t="s">
        <v>64</v>
      </c>
    </row>
    <row r="78" spans="1:8">
      <c r="A78" s="9"/>
      <c r="B78" s="483"/>
      <c r="C78" s="484" t="s">
        <v>5</v>
      </c>
      <c r="D78" s="486" t="s">
        <v>429</v>
      </c>
      <c r="E78" s="473" t="str">
        <f t="shared" si="6"/>
        <v>Desmoid Fibromatosis</v>
      </c>
      <c r="F78" s="473" t="s">
        <v>430</v>
      </c>
      <c r="G78" s="632" t="s">
        <v>403</v>
      </c>
      <c r="H78" s="663" t="s">
        <v>60</v>
      </c>
    </row>
    <row r="79" spans="1:8">
      <c r="A79" s="9"/>
      <c r="B79" s="483"/>
      <c r="C79" s="484" t="s">
        <v>5</v>
      </c>
      <c r="D79" s="487" t="s">
        <v>431</v>
      </c>
      <c r="E79" s="473" t="str">
        <f t="shared" si="6"/>
        <v>Sclerosing Epithelioid Fibrosarcoma</v>
      </c>
      <c r="F79" s="473" t="s">
        <v>432</v>
      </c>
      <c r="G79" s="632" t="s">
        <v>403</v>
      </c>
      <c r="H79" s="663" t="s">
        <v>60</v>
      </c>
    </row>
    <row r="80" spans="1:8">
      <c r="A80" s="9"/>
      <c r="B80" s="483"/>
      <c r="C80" s="484" t="s">
        <v>5</v>
      </c>
      <c r="D80" s="486" t="s">
        <v>433</v>
      </c>
      <c r="E80" s="473" t="str">
        <f t="shared" si="6"/>
        <v>Fibrosarcoma, NOS</v>
      </c>
      <c r="F80" s="473" t="s">
        <v>434</v>
      </c>
      <c r="G80" s="632" t="s">
        <v>403</v>
      </c>
      <c r="H80" s="663" t="s">
        <v>64</v>
      </c>
    </row>
    <row r="81" spans="1:8">
      <c r="A81" s="9"/>
      <c r="B81" s="483"/>
      <c r="C81" s="484" t="s">
        <v>5</v>
      </c>
      <c r="D81" s="486" t="s">
        <v>435</v>
      </c>
      <c r="E81" s="473" t="str">
        <f t="shared" si="6"/>
        <v>Fibrous Hamartoma of Infancy</v>
      </c>
      <c r="F81" s="473" t="s">
        <v>436</v>
      </c>
      <c r="G81" s="632" t="s">
        <v>403</v>
      </c>
      <c r="H81" s="663" t="s">
        <v>60</v>
      </c>
    </row>
    <row r="82" spans="1:8">
      <c r="A82" s="9"/>
      <c r="B82" s="483"/>
      <c r="C82" s="484" t="s">
        <v>5</v>
      </c>
      <c r="D82" s="486" t="s">
        <v>437</v>
      </c>
      <c r="E82" s="473" t="str">
        <f t="shared" si="6"/>
        <v>Fibrous Umbilical Polyp</v>
      </c>
      <c r="F82" s="473" t="s">
        <v>438</v>
      </c>
      <c r="G82" s="632" t="s">
        <v>403</v>
      </c>
      <c r="H82" s="663" t="s">
        <v>64</v>
      </c>
    </row>
    <row r="83" spans="1:8">
      <c r="A83" s="9"/>
      <c r="B83" s="483"/>
      <c r="C83" s="484" t="s">
        <v>5</v>
      </c>
      <c r="D83" s="486" t="s">
        <v>439</v>
      </c>
      <c r="E83" s="473" t="str">
        <f t="shared" si="6"/>
        <v>Lipofibromatosis</v>
      </c>
      <c r="F83" s="473" t="s">
        <v>440</v>
      </c>
      <c r="G83" s="632" t="s">
        <v>403</v>
      </c>
      <c r="H83" s="663" t="s">
        <v>60</v>
      </c>
    </row>
    <row r="84" spans="1:8">
      <c r="A84" s="9"/>
      <c r="B84" s="483"/>
      <c r="C84" s="484" t="s">
        <v>5</v>
      </c>
      <c r="D84" s="486" t="s">
        <v>441</v>
      </c>
      <c r="E84" s="473" t="str">
        <f t="shared" si="6"/>
        <v>Giant Cell Fibroblastoma</v>
      </c>
      <c r="F84" s="473" t="s">
        <v>442</v>
      </c>
      <c r="G84" s="632" t="s">
        <v>403</v>
      </c>
      <c r="H84" s="663" t="s">
        <v>285</v>
      </c>
    </row>
    <row r="85" spans="1:8">
      <c r="A85" s="9"/>
      <c r="B85" s="483"/>
      <c r="C85" s="484" t="s">
        <v>5</v>
      </c>
      <c r="D85" s="486" t="s">
        <v>443</v>
      </c>
      <c r="E85" s="473" t="str">
        <f t="shared" si="6"/>
        <v>Myofibroblastic Neoplasm, NOS</v>
      </c>
      <c r="F85" s="473" t="s">
        <v>444</v>
      </c>
      <c r="G85" s="632" t="s">
        <v>403</v>
      </c>
      <c r="H85" s="663" t="s">
        <v>64</v>
      </c>
    </row>
    <row r="86" spans="1:8">
      <c r="A86" s="9"/>
      <c r="B86" s="483"/>
      <c r="C86" s="484" t="s">
        <v>5</v>
      </c>
      <c r="D86" s="486" t="s">
        <v>445</v>
      </c>
      <c r="E86" s="473" t="str">
        <f t="shared" si="6"/>
        <v>Myxofibrosarcoma</v>
      </c>
      <c r="F86" s="473" t="s">
        <v>446</v>
      </c>
      <c r="G86" s="632" t="s">
        <v>403</v>
      </c>
      <c r="H86" s="663" t="s">
        <v>285</v>
      </c>
    </row>
    <row r="87" spans="1:8">
      <c r="A87" s="9"/>
      <c r="B87" s="483"/>
      <c r="C87" s="484" t="s">
        <v>5</v>
      </c>
      <c r="D87" s="486" t="s">
        <v>447</v>
      </c>
      <c r="E87" s="473" t="str">
        <f t="shared" si="6"/>
        <v>Solitary Fibrous Tumor</v>
      </c>
      <c r="F87" s="473" t="s">
        <v>448</v>
      </c>
      <c r="G87" s="632" t="s">
        <v>403</v>
      </c>
      <c r="H87" s="663" t="s">
        <v>285</v>
      </c>
    </row>
    <row r="88" spans="1:8">
      <c r="A88" s="9"/>
      <c r="B88" s="483"/>
      <c r="C88" s="484" t="s">
        <v>5</v>
      </c>
      <c r="D88" s="486" t="s">
        <v>449</v>
      </c>
      <c r="E88" s="473" t="str">
        <f t="shared" si="6"/>
        <v>Fibromatosis Colli</v>
      </c>
      <c r="F88" s="473" t="s">
        <v>450</v>
      </c>
      <c r="G88" s="632" t="s">
        <v>403</v>
      </c>
      <c r="H88" s="663" t="s">
        <v>60</v>
      </c>
    </row>
    <row r="89" spans="1:8">
      <c r="A89" s="9"/>
      <c r="B89" s="483"/>
      <c r="C89" s="484" t="s">
        <v>5</v>
      </c>
      <c r="D89" s="486" t="s">
        <v>451</v>
      </c>
      <c r="E89" s="473" t="str">
        <f>D89</f>
        <v>Sinonasal Angiofibroma</v>
      </c>
      <c r="F89" s="473" t="s">
        <v>452</v>
      </c>
      <c r="G89" s="632" t="s">
        <v>403</v>
      </c>
      <c r="H89" s="663" t="s">
        <v>60</v>
      </c>
    </row>
    <row r="90" spans="1:8">
      <c r="A90" s="9"/>
      <c r="B90" s="483"/>
      <c r="C90" s="484" t="s">
        <v>5</v>
      </c>
      <c r="D90" s="486" t="s">
        <v>453</v>
      </c>
      <c r="E90" s="473" t="str">
        <f>D90</f>
        <v>Fibroepithelial Tumor</v>
      </c>
      <c r="F90" s="473" t="s">
        <v>454</v>
      </c>
      <c r="G90" s="632" t="s">
        <v>403</v>
      </c>
      <c r="H90" s="663" t="s">
        <v>60</v>
      </c>
    </row>
    <row r="91" spans="1:8">
      <c r="A91" s="9"/>
      <c r="B91" s="483"/>
      <c r="C91" s="484" t="s">
        <v>5</v>
      </c>
      <c r="D91" s="486" t="s">
        <v>455</v>
      </c>
      <c r="E91" s="473" t="str">
        <f t="shared" si="6"/>
        <v>Myositis Ossificans and Fibro-osseous Pseudotumor of Digits</v>
      </c>
      <c r="F91" s="473" t="s">
        <v>456</v>
      </c>
      <c r="G91" s="632" t="s">
        <v>403</v>
      </c>
      <c r="H91" s="663" t="s">
        <v>285</v>
      </c>
    </row>
    <row r="92" spans="1:8">
      <c r="A92" s="9"/>
      <c r="B92" s="480" t="s">
        <v>5</v>
      </c>
      <c r="C92" s="34" t="s">
        <v>457</v>
      </c>
      <c r="D92" s="35"/>
      <c r="E92" s="482" t="str">
        <f>C92</f>
        <v>Vascular Tumors</v>
      </c>
      <c r="F92" s="482" t="s">
        <v>458</v>
      </c>
      <c r="G92" s="637" t="s">
        <v>57</v>
      </c>
      <c r="H92" s="661" t="s">
        <v>60</v>
      </c>
    </row>
    <row r="93" spans="1:8">
      <c r="A93" s="9"/>
      <c r="B93" s="488"/>
      <c r="C93" s="484" t="s">
        <v>5</v>
      </c>
      <c r="D93" s="485" t="s">
        <v>459</v>
      </c>
      <c r="E93" s="473" t="str">
        <f>D93</f>
        <v>Angiosarcoma</v>
      </c>
      <c r="F93" s="473" t="s">
        <v>460</v>
      </c>
      <c r="G93" s="632" t="s">
        <v>403</v>
      </c>
      <c r="H93" s="663" t="s">
        <v>60</v>
      </c>
    </row>
    <row r="94" spans="1:8">
      <c r="A94" s="9"/>
      <c r="B94" s="488"/>
      <c r="C94" s="484" t="s">
        <v>5</v>
      </c>
      <c r="D94" s="486" t="s">
        <v>461</v>
      </c>
      <c r="E94" s="489" t="str">
        <f>D94</f>
        <v>Kaposiform Hemangioendothelioma</v>
      </c>
      <c r="F94" s="473" t="s">
        <v>462</v>
      </c>
      <c r="G94" s="632" t="s">
        <v>403</v>
      </c>
      <c r="H94" s="663" t="s">
        <v>60</v>
      </c>
    </row>
    <row r="95" spans="1:8">
      <c r="A95" s="9"/>
      <c r="B95" s="488"/>
      <c r="C95" s="484" t="s">
        <v>5</v>
      </c>
      <c r="D95" s="486" t="s">
        <v>463</v>
      </c>
      <c r="E95" s="473" t="str">
        <f>D95</f>
        <v>Infantile Hemangioma</v>
      </c>
      <c r="F95" s="473" t="s">
        <v>464</v>
      </c>
      <c r="G95" s="632" t="s">
        <v>403</v>
      </c>
      <c r="H95" s="663" t="s">
        <v>60</v>
      </c>
    </row>
    <row r="96" spans="1:8">
      <c r="A96" s="9"/>
      <c r="B96" s="480" t="s">
        <v>5</v>
      </c>
      <c r="C96" s="34" t="s">
        <v>465</v>
      </c>
      <c r="D96" s="481"/>
      <c r="E96" s="482" t="str">
        <f>C96</f>
        <v>Pericytic (perivascular) Tumors</v>
      </c>
      <c r="F96" s="482" t="s">
        <v>466</v>
      </c>
      <c r="G96" s="637" t="s">
        <v>57</v>
      </c>
      <c r="H96" s="661" t="s">
        <v>60</v>
      </c>
    </row>
    <row r="97" spans="1:8">
      <c r="A97" s="9"/>
      <c r="B97" s="488"/>
      <c r="C97" s="484" t="s">
        <v>5</v>
      </c>
      <c r="D97" s="486" t="s">
        <v>467</v>
      </c>
      <c r="E97" s="489" t="str">
        <f>D97</f>
        <v>Myofibroma and Myopericytoma</v>
      </c>
      <c r="F97" s="473" t="s">
        <v>468</v>
      </c>
      <c r="G97" s="632" t="s">
        <v>403</v>
      </c>
      <c r="H97" s="663" t="s">
        <v>60</v>
      </c>
    </row>
    <row r="98" spans="1:8">
      <c r="A98" s="9"/>
      <c r="B98" s="480" t="s">
        <v>5</v>
      </c>
      <c r="C98" s="34" t="s">
        <v>469</v>
      </c>
      <c r="D98" s="481"/>
      <c r="E98" s="482" t="str">
        <f>C98</f>
        <v>Adipocytic Tumors</v>
      </c>
      <c r="F98" s="482" t="s">
        <v>470</v>
      </c>
      <c r="G98" s="637" t="s">
        <v>57</v>
      </c>
      <c r="H98" s="661" t="s">
        <v>60</v>
      </c>
    </row>
    <row r="99" spans="1:8">
      <c r="A99" s="9"/>
      <c r="B99" s="488"/>
      <c r="C99" s="484" t="s">
        <v>5</v>
      </c>
      <c r="D99" s="485" t="s">
        <v>471</v>
      </c>
      <c r="E99" s="473" t="str">
        <f>D99</f>
        <v>Lipoblastoma</v>
      </c>
      <c r="F99" s="473" t="s">
        <v>472</v>
      </c>
      <c r="G99" s="632" t="s">
        <v>403</v>
      </c>
      <c r="H99" s="663" t="s">
        <v>60</v>
      </c>
    </row>
    <row r="100" spans="1:8">
      <c r="A100" s="9"/>
      <c r="B100" s="488"/>
      <c r="C100" s="484" t="s">
        <v>5</v>
      </c>
      <c r="D100" s="486" t="s">
        <v>473</v>
      </c>
      <c r="E100" s="489" t="str">
        <f>D100</f>
        <v>Lipoma</v>
      </c>
      <c r="F100" s="473" t="s">
        <v>474</v>
      </c>
      <c r="G100" s="632" t="s">
        <v>403</v>
      </c>
      <c r="H100" s="663" t="s">
        <v>285</v>
      </c>
    </row>
    <row r="101" spans="1:8">
      <c r="A101" s="9"/>
      <c r="B101" s="488"/>
      <c r="C101" s="484" t="s">
        <v>5</v>
      </c>
      <c r="D101" s="486" t="s">
        <v>475</v>
      </c>
      <c r="E101" s="489" t="str">
        <f>D101</f>
        <v>Liposarcoma</v>
      </c>
      <c r="F101" s="473" t="s">
        <v>476</v>
      </c>
      <c r="G101" s="632" t="s">
        <v>403</v>
      </c>
      <c r="H101" s="663" t="s">
        <v>60</v>
      </c>
    </row>
    <row r="102" spans="1:8">
      <c r="A102" s="402"/>
      <c r="B102" s="488"/>
      <c r="C102" s="484" t="s">
        <v>5</v>
      </c>
      <c r="D102" s="486" t="s">
        <v>477</v>
      </c>
      <c r="E102" s="489" t="str">
        <f>D102</f>
        <v>Myxoid Liposarcoma</v>
      </c>
      <c r="F102" s="473" t="s">
        <v>478</v>
      </c>
      <c r="G102" s="632" t="s">
        <v>403</v>
      </c>
      <c r="H102" s="663" t="s">
        <v>285</v>
      </c>
    </row>
    <row r="103" spans="1:8">
      <c r="A103" s="402"/>
      <c r="B103" s="480" t="s">
        <v>5</v>
      </c>
      <c r="C103" s="34" t="s">
        <v>479</v>
      </c>
      <c r="D103" s="481"/>
      <c r="E103" s="482" t="str">
        <f>C103</f>
        <v>Tumors of Uncertain Derivation</v>
      </c>
      <c r="F103" s="482" t="s">
        <v>480</v>
      </c>
      <c r="G103" s="637" t="s">
        <v>57</v>
      </c>
      <c r="H103" s="661" t="s">
        <v>60</v>
      </c>
    </row>
    <row r="104" spans="1:8">
      <c r="A104" s="402"/>
      <c r="B104" s="488"/>
      <c r="C104" s="484" t="s">
        <v>5</v>
      </c>
      <c r="D104" s="485" t="s">
        <v>481</v>
      </c>
      <c r="E104" s="473" t="str">
        <f>D104</f>
        <v>Angiomatoid Fibrous Histiocytoma</v>
      </c>
      <c r="F104" s="473" t="s">
        <v>482</v>
      </c>
      <c r="G104" s="632" t="s">
        <v>403</v>
      </c>
      <c r="H104" s="663" t="s">
        <v>60</v>
      </c>
    </row>
    <row r="105" spans="1:8">
      <c r="A105" s="402"/>
      <c r="B105" s="488"/>
      <c r="C105" s="484" t="s">
        <v>5</v>
      </c>
      <c r="D105" s="486" t="s">
        <v>483</v>
      </c>
      <c r="E105" s="473" t="str">
        <f t="shared" ref="E105:E113" si="7">D105</f>
        <v>Clear Cell Sarcoma of Soft Tissue</v>
      </c>
      <c r="F105" s="473" t="s">
        <v>484</v>
      </c>
      <c r="G105" s="632" t="s">
        <v>403</v>
      </c>
      <c r="H105" s="663" t="s">
        <v>60</v>
      </c>
    </row>
    <row r="106" spans="1:8">
      <c r="A106" s="402"/>
      <c r="B106" s="490"/>
      <c r="C106" s="484" t="s">
        <v>5</v>
      </c>
      <c r="D106" s="486" t="s">
        <v>485</v>
      </c>
      <c r="E106" s="473" t="str">
        <f t="shared" si="7"/>
        <v>Desmoplastic Small Round Cell Tumor</v>
      </c>
      <c r="F106" s="473" t="s">
        <v>486</v>
      </c>
      <c r="G106" s="632" t="s">
        <v>403</v>
      </c>
      <c r="H106" s="663" t="s">
        <v>60</v>
      </c>
    </row>
    <row r="107" spans="1:8">
      <c r="A107" s="402"/>
      <c r="B107" s="490"/>
      <c r="C107" s="484" t="s">
        <v>5</v>
      </c>
      <c r="D107" s="486" t="s">
        <v>487</v>
      </c>
      <c r="E107" s="473" t="str">
        <f t="shared" si="7"/>
        <v>Epithelioid Sarcoma</v>
      </c>
      <c r="F107" s="473" t="s">
        <v>488</v>
      </c>
      <c r="G107" s="632" t="s">
        <v>403</v>
      </c>
      <c r="H107" s="663" t="s">
        <v>60</v>
      </c>
    </row>
    <row r="108" spans="1:8">
      <c r="A108" s="402"/>
      <c r="B108" s="490"/>
      <c r="C108" s="484" t="s">
        <v>5</v>
      </c>
      <c r="D108" s="486" t="s">
        <v>489</v>
      </c>
      <c r="E108" s="473" t="str">
        <f t="shared" si="7"/>
        <v>Synovial Sarcoma</v>
      </c>
      <c r="F108" s="473" t="s">
        <v>490</v>
      </c>
      <c r="G108" s="632" t="s">
        <v>403</v>
      </c>
      <c r="H108" s="663" t="s">
        <v>60</v>
      </c>
    </row>
    <row r="109" spans="1:8">
      <c r="A109" s="402"/>
      <c r="B109" s="490"/>
      <c r="C109" s="484" t="s">
        <v>5</v>
      </c>
      <c r="D109" s="471" t="s">
        <v>491</v>
      </c>
      <c r="E109" s="472" t="str">
        <f>D109</f>
        <v>Spindle Cell Sarcoma</v>
      </c>
      <c r="F109" s="473" t="s">
        <v>492</v>
      </c>
      <c r="G109" s="632" t="s">
        <v>403</v>
      </c>
      <c r="H109" s="663" t="s">
        <v>64</v>
      </c>
    </row>
    <row r="110" spans="1:8">
      <c r="B110" s="490"/>
      <c r="C110" s="484" t="s">
        <v>5</v>
      </c>
      <c r="D110" s="471" t="s">
        <v>493</v>
      </c>
      <c r="E110" s="472" t="str">
        <f>D110</f>
        <v>Spindle Cell Tumor</v>
      </c>
      <c r="F110" s="473" t="s">
        <v>494</v>
      </c>
      <c r="G110" s="632" t="s">
        <v>403</v>
      </c>
      <c r="H110" s="663" t="s">
        <v>64</v>
      </c>
    </row>
    <row r="111" spans="1:8">
      <c r="A111" s="9"/>
      <c r="B111" s="483"/>
      <c r="C111" s="484" t="s">
        <v>5</v>
      </c>
      <c r="D111" s="486" t="s">
        <v>495</v>
      </c>
      <c r="E111" s="473" t="str">
        <f>D111</f>
        <v>Undifferentiated Pleomorphic Sarcoma</v>
      </c>
      <c r="F111" s="473" t="s">
        <v>496</v>
      </c>
      <c r="G111" s="632" t="s">
        <v>403</v>
      </c>
      <c r="H111" s="663" t="s">
        <v>285</v>
      </c>
    </row>
    <row r="112" spans="1:8">
      <c r="A112" s="402"/>
      <c r="B112" s="490"/>
      <c r="C112" s="484" t="s">
        <v>5</v>
      </c>
      <c r="D112" s="471" t="s">
        <v>497</v>
      </c>
      <c r="E112" s="472" t="str">
        <f>D112</f>
        <v>Undifferentiated Round Cell Sarcoma</v>
      </c>
      <c r="F112" s="473" t="s">
        <v>498</v>
      </c>
      <c r="G112" s="632" t="s">
        <v>403</v>
      </c>
      <c r="H112" s="663" t="s">
        <v>285</v>
      </c>
    </row>
    <row r="113" spans="1:8">
      <c r="A113" s="402"/>
      <c r="B113" s="490"/>
      <c r="C113" s="484" t="s">
        <v>5</v>
      </c>
      <c r="D113" s="486" t="s">
        <v>499</v>
      </c>
      <c r="E113" s="473" t="str">
        <f t="shared" si="7"/>
        <v>Alveolar Soft Part Sarcoma</v>
      </c>
      <c r="F113" s="473" t="s">
        <v>500</v>
      </c>
      <c r="G113" s="632" t="s">
        <v>403</v>
      </c>
      <c r="H113" s="663" t="s">
        <v>60</v>
      </c>
    </row>
    <row r="114" spans="1:8">
      <c r="A114" s="402"/>
      <c r="B114" s="311"/>
      <c r="C114" s="484" t="s">
        <v>5</v>
      </c>
      <c r="D114" s="471" t="s">
        <v>501</v>
      </c>
      <c r="E114" s="472" t="str">
        <f>D114</f>
        <v>NTRK-rearranged Spindle Cell Neoplasm</v>
      </c>
      <c r="F114" s="473" t="s">
        <v>502</v>
      </c>
      <c r="G114" s="632" t="s">
        <v>403</v>
      </c>
      <c r="H114" s="663" t="s">
        <v>60</v>
      </c>
    </row>
    <row r="115" spans="1:8">
      <c r="A115" s="402"/>
      <c r="B115" s="490"/>
      <c r="C115" s="484" t="s">
        <v>5</v>
      </c>
      <c r="D115" s="486" t="s">
        <v>503</v>
      </c>
      <c r="E115" s="473" t="str">
        <f>D115</f>
        <v>Angiomyxoma</v>
      </c>
      <c r="F115" s="473" t="s">
        <v>504</v>
      </c>
      <c r="G115" s="632" t="s">
        <v>403</v>
      </c>
      <c r="H115" s="663" t="s">
        <v>60</v>
      </c>
    </row>
    <row r="116" spans="1:8">
      <c r="A116" s="402"/>
      <c r="B116" s="480" t="s">
        <v>5</v>
      </c>
      <c r="C116" s="34" t="s">
        <v>505</v>
      </c>
      <c r="D116" s="481"/>
      <c r="E116" s="482" t="str">
        <f>C116</f>
        <v>Peripheral Nerve Sheath Tumors</v>
      </c>
      <c r="F116" s="482" t="s">
        <v>506</v>
      </c>
      <c r="G116" s="637" t="s">
        <v>57</v>
      </c>
      <c r="H116" s="661" t="s">
        <v>60</v>
      </c>
    </row>
    <row r="117" spans="1:8">
      <c r="A117" s="402"/>
      <c r="B117" s="483"/>
      <c r="C117" s="484" t="s">
        <v>5</v>
      </c>
      <c r="D117" s="486" t="s">
        <v>507</v>
      </c>
      <c r="E117" s="489" t="str">
        <f>D117</f>
        <v>Neurofibroma</v>
      </c>
      <c r="F117" s="473" t="s">
        <v>508</v>
      </c>
      <c r="G117" s="632" t="s">
        <v>403</v>
      </c>
      <c r="H117" s="663" t="s">
        <v>60</v>
      </c>
    </row>
    <row r="118" spans="1:8">
      <c r="A118" s="402"/>
      <c r="B118" s="488"/>
      <c r="C118" s="484" t="s">
        <v>5</v>
      </c>
      <c r="D118" s="486" t="s">
        <v>509</v>
      </c>
      <c r="E118" s="489" t="str">
        <f t="shared" ref="E118:E122" si="8">D118</f>
        <v>Malignant Peripheral Nerve Sheath Tumor</v>
      </c>
      <c r="F118" s="473" t="s">
        <v>510</v>
      </c>
      <c r="G118" s="632" t="s">
        <v>403</v>
      </c>
      <c r="H118" s="663" t="s">
        <v>60</v>
      </c>
    </row>
    <row r="119" spans="1:8">
      <c r="A119" s="402"/>
      <c r="B119" s="488"/>
      <c r="C119" s="484" t="s">
        <v>5</v>
      </c>
      <c r="D119" s="486" t="s">
        <v>511</v>
      </c>
      <c r="E119" s="489" t="str">
        <f t="shared" si="8"/>
        <v>Hybrid Nerve Sheath Tumor</v>
      </c>
      <c r="F119" s="473" t="s">
        <v>512</v>
      </c>
      <c r="G119" s="632" t="s">
        <v>403</v>
      </c>
      <c r="H119" s="663" t="s">
        <v>60</v>
      </c>
    </row>
    <row r="120" spans="1:8">
      <c r="A120" s="402"/>
      <c r="B120" s="488"/>
      <c r="C120" s="484" t="s">
        <v>5</v>
      </c>
      <c r="D120" s="486" t="s">
        <v>513</v>
      </c>
      <c r="E120" s="489" t="str">
        <f t="shared" si="8"/>
        <v>Neuromuscular Choristoma</v>
      </c>
      <c r="F120" s="473" t="s">
        <v>514</v>
      </c>
      <c r="G120" s="632" t="s">
        <v>403</v>
      </c>
      <c r="H120" s="663" t="s">
        <v>60</v>
      </c>
    </row>
    <row r="121" spans="1:8">
      <c r="A121" s="402"/>
      <c r="B121" s="488"/>
      <c r="C121" s="484" t="s">
        <v>5</v>
      </c>
      <c r="D121" s="486" t="s">
        <v>515</v>
      </c>
      <c r="E121" s="489" t="str">
        <f t="shared" si="8"/>
        <v>Perineurioma</v>
      </c>
      <c r="F121" s="473" t="s">
        <v>516</v>
      </c>
      <c r="G121" s="632" t="s">
        <v>403</v>
      </c>
      <c r="H121" s="663" t="s">
        <v>60</v>
      </c>
    </row>
    <row r="122" spans="1:8">
      <c r="A122" s="423"/>
      <c r="B122" s="488"/>
      <c r="C122" s="484" t="s">
        <v>5</v>
      </c>
      <c r="D122" s="486" t="s">
        <v>517</v>
      </c>
      <c r="E122" s="489" t="str">
        <f t="shared" si="8"/>
        <v>Schwannoma</v>
      </c>
      <c r="F122" s="473" t="s">
        <v>518</v>
      </c>
      <c r="G122" s="632" t="s">
        <v>403</v>
      </c>
      <c r="H122" s="663" t="s">
        <v>60</v>
      </c>
    </row>
    <row r="123" spans="1:8">
      <c r="A123" s="402"/>
      <c r="B123" s="480" t="s">
        <v>5</v>
      </c>
      <c r="C123" s="491" t="s">
        <v>519</v>
      </c>
      <c r="D123" s="492"/>
      <c r="E123" s="493" t="str">
        <f>C123</f>
        <v>Smooth Muscle Tumors</v>
      </c>
      <c r="F123" s="482" t="s">
        <v>520</v>
      </c>
      <c r="G123" s="637" t="s">
        <v>57</v>
      </c>
      <c r="H123" s="661" t="s">
        <v>60</v>
      </c>
    </row>
    <row r="124" spans="1:8">
      <c r="A124" s="423"/>
      <c r="B124" s="488"/>
      <c r="C124" s="484" t="s">
        <v>5</v>
      </c>
      <c r="D124" s="486" t="s">
        <v>521</v>
      </c>
      <c r="E124" s="489" t="str">
        <f>D124</f>
        <v>Leiomyoma</v>
      </c>
      <c r="F124" s="473" t="s">
        <v>522</v>
      </c>
      <c r="G124" s="632" t="s">
        <v>403</v>
      </c>
      <c r="H124" s="663" t="s">
        <v>285</v>
      </c>
    </row>
    <row r="125" spans="1:8">
      <c r="A125" s="402"/>
      <c r="B125" s="488"/>
      <c r="C125" s="484" t="s">
        <v>5</v>
      </c>
      <c r="D125" s="486" t="s">
        <v>523</v>
      </c>
      <c r="E125" s="489" t="str">
        <f>D125</f>
        <v>EBV-associated Smooth Muscle Tumor</v>
      </c>
      <c r="F125" s="473" t="s">
        <v>524</v>
      </c>
      <c r="G125" s="632" t="s">
        <v>403</v>
      </c>
      <c r="H125" s="663" t="s">
        <v>60</v>
      </c>
    </row>
    <row r="126" spans="1:8">
      <c r="A126" s="402"/>
      <c r="B126" s="603" t="s">
        <v>5</v>
      </c>
      <c r="C126" s="604" t="s">
        <v>525</v>
      </c>
      <c r="D126" s="605"/>
      <c r="E126" s="606" t="str">
        <f>C126</f>
        <v>Skeletal Muscle Tumors / Rhabdomyosarcoma</v>
      </c>
      <c r="F126" s="606" t="s">
        <v>526</v>
      </c>
      <c r="G126" s="638" t="s">
        <v>57</v>
      </c>
      <c r="H126" s="666" t="s">
        <v>60</v>
      </c>
    </row>
    <row r="127" spans="1:8">
      <c r="A127" s="402"/>
      <c r="B127" s="494"/>
      <c r="C127" s="495" t="s">
        <v>5</v>
      </c>
      <c r="D127" s="496" t="s">
        <v>527</v>
      </c>
      <c r="E127" s="497" t="str">
        <f>D127</f>
        <v>Spindle Cell/Sclerosing Rhabdomyosarcoma</v>
      </c>
      <c r="F127" s="498" t="s">
        <v>528</v>
      </c>
      <c r="G127" s="639" t="s">
        <v>529</v>
      </c>
      <c r="H127" s="667" t="s">
        <v>285</v>
      </c>
    </row>
    <row r="128" spans="1:8">
      <c r="A128" s="402"/>
      <c r="B128" s="494"/>
      <c r="C128" s="495" t="s">
        <v>5</v>
      </c>
      <c r="D128" s="496" t="s">
        <v>530</v>
      </c>
      <c r="E128" s="497" t="str">
        <f t="shared" ref="E128" si="9">D128</f>
        <v>Embryonal Rhabdomyosarcoma</v>
      </c>
      <c r="F128" s="498" t="s">
        <v>531</v>
      </c>
      <c r="G128" s="639" t="s">
        <v>529</v>
      </c>
      <c r="H128" s="667" t="s">
        <v>285</v>
      </c>
    </row>
    <row r="129" spans="1:8">
      <c r="A129" s="402"/>
      <c r="B129" s="494"/>
      <c r="C129" s="495" t="s">
        <v>5</v>
      </c>
      <c r="D129" s="496" t="s">
        <v>532</v>
      </c>
      <c r="E129" s="497" t="str">
        <f>D129</f>
        <v>Alveolar Rhabdomyosarcoma</v>
      </c>
      <c r="F129" s="498" t="s">
        <v>533</v>
      </c>
      <c r="G129" s="639" t="s">
        <v>529</v>
      </c>
      <c r="H129" s="667" t="s">
        <v>285</v>
      </c>
    </row>
    <row r="130" spans="1:8">
      <c r="A130" s="402"/>
      <c r="B130" s="494"/>
      <c r="C130" s="495" t="s">
        <v>5</v>
      </c>
      <c r="D130" s="496" t="s">
        <v>534</v>
      </c>
      <c r="E130" s="497" t="str">
        <f>D130</f>
        <v>Pleomorphic Rhabdomyosarcoma</v>
      </c>
      <c r="F130" s="498" t="s">
        <v>535</v>
      </c>
      <c r="G130" s="639" t="s">
        <v>529</v>
      </c>
      <c r="H130" s="667" t="s">
        <v>285</v>
      </c>
    </row>
    <row r="131" spans="1:8">
      <c r="A131" s="402"/>
      <c r="B131" s="494"/>
      <c r="C131" s="495" t="s">
        <v>5</v>
      </c>
      <c r="D131" s="499" t="s">
        <v>536</v>
      </c>
      <c r="E131" s="497" t="str">
        <f>D131</f>
        <v>Rhabdomyosarcoma, NOS</v>
      </c>
      <c r="F131" s="498" t="s">
        <v>537</v>
      </c>
      <c r="G131" s="639" t="s">
        <v>529</v>
      </c>
      <c r="H131" s="667" t="s">
        <v>64</v>
      </c>
    </row>
    <row r="132" spans="1:8">
      <c r="A132" s="9" t="s">
        <v>5</v>
      </c>
      <c r="B132" s="500" t="s">
        <v>538</v>
      </c>
      <c r="C132" s="501"/>
      <c r="D132" s="502"/>
      <c r="E132" s="503" t="s">
        <v>538</v>
      </c>
      <c r="F132" s="503" t="s">
        <v>539</v>
      </c>
      <c r="G132" s="640" t="s">
        <v>57</v>
      </c>
      <c r="H132" s="668" t="s">
        <v>60</v>
      </c>
    </row>
    <row r="133" spans="1:8">
      <c r="A133" s="402"/>
      <c r="B133" s="504" t="s">
        <v>5</v>
      </c>
      <c r="C133" s="505" t="s">
        <v>540</v>
      </c>
      <c r="D133" s="506"/>
      <c r="E133" s="507" t="str">
        <f t="shared" ref="E133:E140" si="10">C133</f>
        <v>Mature Teratoma</v>
      </c>
      <c r="F133" s="507" t="s">
        <v>541</v>
      </c>
      <c r="G133" s="641" t="s">
        <v>538</v>
      </c>
      <c r="H133" s="669" t="s">
        <v>285</v>
      </c>
    </row>
    <row r="134" spans="1:8">
      <c r="A134" s="402"/>
      <c r="B134" s="504" t="s">
        <v>5</v>
      </c>
      <c r="C134" s="505" t="s">
        <v>542</v>
      </c>
      <c r="D134" s="506"/>
      <c r="E134" s="507" t="str">
        <f t="shared" si="10"/>
        <v>Malignant Mixed Germ Cell Tumor</v>
      </c>
      <c r="F134" s="507" t="s">
        <v>543</v>
      </c>
      <c r="G134" s="641" t="s">
        <v>538</v>
      </c>
      <c r="H134" s="669" t="s">
        <v>60</v>
      </c>
    </row>
    <row r="135" spans="1:8">
      <c r="B135" s="504" t="s">
        <v>5</v>
      </c>
      <c r="C135" s="505" t="s">
        <v>544</v>
      </c>
      <c r="D135" s="506"/>
      <c r="E135" s="507" t="str">
        <f t="shared" si="10"/>
        <v>Yolk Sac Tumor</v>
      </c>
      <c r="F135" s="507" t="s">
        <v>545</v>
      </c>
      <c r="G135" s="641" t="s">
        <v>538</v>
      </c>
      <c r="H135" s="669" t="s">
        <v>60</v>
      </c>
    </row>
    <row r="136" spans="1:8">
      <c r="B136" s="504" t="s">
        <v>5</v>
      </c>
      <c r="C136" s="505" t="s">
        <v>546</v>
      </c>
      <c r="D136" s="506"/>
      <c r="E136" s="507" t="str">
        <f t="shared" si="10"/>
        <v>Choriocarcinoma</v>
      </c>
      <c r="F136" s="507" t="s">
        <v>547</v>
      </c>
      <c r="G136" s="641" t="s">
        <v>538</v>
      </c>
      <c r="H136" s="669" t="s">
        <v>60</v>
      </c>
    </row>
    <row r="137" spans="1:8">
      <c r="B137" s="504" t="s">
        <v>5</v>
      </c>
      <c r="C137" s="505" t="s">
        <v>548</v>
      </c>
      <c r="D137" s="506"/>
      <c r="E137" s="507" t="str">
        <f t="shared" si="10"/>
        <v>Dysgerminoma</v>
      </c>
      <c r="F137" s="507" t="s">
        <v>549</v>
      </c>
      <c r="G137" s="641" t="s">
        <v>538</v>
      </c>
      <c r="H137" s="669" t="s">
        <v>60</v>
      </c>
    </row>
    <row r="138" spans="1:8">
      <c r="A138" s="402"/>
      <c r="B138" s="504" t="s">
        <v>5</v>
      </c>
      <c r="C138" s="505" t="s">
        <v>550</v>
      </c>
      <c r="D138" s="506"/>
      <c r="E138" s="507" t="str">
        <f t="shared" si="10"/>
        <v>Germinoma</v>
      </c>
      <c r="F138" s="507" t="s">
        <v>551</v>
      </c>
      <c r="G138" s="641" t="s">
        <v>538</v>
      </c>
      <c r="H138" s="669" t="s">
        <v>60</v>
      </c>
    </row>
    <row r="139" spans="1:8">
      <c r="B139" s="504" t="s">
        <v>5</v>
      </c>
      <c r="C139" s="505" t="s">
        <v>552</v>
      </c>
      <c r="D139" s="506"/>
      <c r="E139" s="507" t="str">
        <f t="shared" si="10"/>
        <v>Seminoma</v>
      </c>
      <c r="F139" s="507" t="s">
        <v>553</v>
      </c>
      <c r="G139" s="641" t="s">
        <v>538</v>
      </c>
      <c r="H139" s="669" t="s">
        <v>60</v>
      </c>
    </row>
    <row r="140" spans="1:8">
      <c r="A140" s="402"/>
      <c r="B140" s="504" t="s">
        <v>5</v>
      </c>
      <c r="C140" s="505" t="s">
        <v>554</v>
      </c>
      <c r="D140" s="506"/>
      <c r="E140" s="507" t="str">
        <f t="shared" si="10"/>
        <v>Germ Cell Tumor, NOS</v>
      </c>
      <c r="F140" s="507" t="s">
        <v>555</v>
      </c>
      <c r="G140" s="641" t="s">
        <v>538</v>
      </c>
      <c r="H140" s="669" t="s">
        <v>64</v>
      </c>
    </row>
    <row r="141" spans="1:8">
      <c r="A141" s="508" t="s">
        <v>5</v>
      </c>
      <c r="B141" s="509" t="s">
        <v>556</v>
      </c>
      <c r="C141" s="36"/>
      <c r="D141" s="510"/>
      <c r="E141" s="511" t="str">
        <f>B141</f>
        <v>Head and Neck Tumors</v>
      </c>
      <c r="F141" s="511" t="s">
        <v>557</v>
      </c>
      <c r="G141" s="642" t="s">
        <v>57</v>
      </c>
      <c r="H141" s="670" t="s">
        <v>60</v>
      </c>
    </row>
    <row r="142" spans="1:8">
      <c r="A142" s="423"/>
      <c r="B142" s="513" t="s">
        <v>5</v>
      </c>
      <c r="C142" s="189" t="s">
        <v>558</v>
      </c>
      <c r="D142" s="190"/>
      <c r="E142" s="514" t="str">
        <f t="shared" ref="E142:E158" si="11">C142</f>
        <v>Acinic Cell Carcinoma</v>
      </c>
      <c r="F142" s="515" t="s">
        <v>559</v>
      </c>
      <c r="G142" s="207" t="s">
        <v>372</v>
      </c>
      <c r="H142" s="557" t="s">
        <v>60</v>
      </c>
    </row>
    <row r="143" spans="1:8">
      <c r="A143" s="402"/>
      <c r="B143" s="516" t="s">
        <v>5</v>
      </c>
      <c r="C143" s="330" t="s">
        <v>560</v>
      </c>
      <c r="D143" s="331"/>
      <c r="E143" s="517" t="str">
        <f t="shared" si="11"/>
        <v>Adenoid Cystic Carcinoma</v>
      </c>
      <c r="F143" s="518" t="s">
        <v>561</v>
      </c>
      <c r="G143" s="559" t="s">
        <v>372</v>
      </c>
      <c r="H143" s="557" t="s">
        <v>285</v>
      </c>
    </row>
    <row r="144" spans="1:8">
      <c r="A144" s="402"/>
      <c r="B144" s="516" t="s">
        <v>5</v>
      </c>
      <c r="C144" s="330" t="s">
        <v>562</v>
      </c>
      <c r="D144" s="331"/>
      <c r="E144" s="517" t="str">
        <f t="shared" si="11"/>
        <v>Mucoepidermoid Carcinoma</v>
      </c>
      <c r="F144" s="518" t="s">
        <v>563</v>
      </c>
      <c r="G144" s="559" t="s">
        <v>372</v>
      </c>
      <c r="H144" s="557" t="s">
        <v>60</v>
      </c>
    </row>
    <row r="145" spans="1:8">
      <c r="B145" s="516" t="s">
        <v>5</v>
      </c>
      <c r="C145" s="519" t="s">
        <v>564</v>
      </c>
      <c r="D145" s="331"/>
      <c r="E145" s="517" t="str">
        <f t="shared" si="11"/>
        <v>Myoepithelial Carcinoma</v>
      </c>
      <c r="F145" s="518" t="s">
        <v>565</v>
      </c>
      <c r="G145" s="559" t="s">
        <v>372</v>
      </c>
      <c r="H145" s="557" t="s">
        <v>285</v>
      </c>
    </row>
    <row r="146" spans="1:8">
      <c r="A146" s="9"/>
      <c r="B146" s="516" t="s">
        <v>5</v>
      </c>
      <c r="C146" s="519" t="s">
        <v>566</v>
      </c>
      <c r="D146" s="331"/>
      <c r="E146" s="517" t="str">
        <f t="shared" si="11"/>
        <v>Secretory Carcinoma</v>
      </c>
      <c r="F146" s="518" t="s">
        <v>567</v>
      </c>
      <c r="G146" s="559" t="s">
        <v>372</v>
      </c>
      <c r="H146" s="557" t="s">
        <v>285</v>
      </c>
    </row>
    <row r="147" spans="1:8">
      <c r="A147" s="423"/>
      <c r="B147" s="516" t="s">
        <v>5</v>
      </c>
      <c r="C147" s="519" t="s">
        <v>568</v>
      </c>
      <c r="D147" s="331"/>
      <c r="E147" s="517" t="str">
        <f t="shared" si="11"/>
        <v>Sclerosing Microcystic Adenocarcinoma</v>
      </c>
      <c r="F147" s="518" t="s">
        <v>569</v>
      </c>
      <c r="G147" s="559" t="s">
        <v>372</v>
      </c>
      <c r="H147" s="557" t="s">
        <v>285</v>
      </c>
    </row>
    <row r="148" spans="1:8">
      <c r="B148" s="516" t="s">
        <v>5</v>
      </c>
      <c r="C148" s="519" t="s">
        <v>570</v>
      </c>
      <c r="D148" s="331"/>
      <c r="E148" s="517" t="str">
        <f t="shared" si="11"/>
        <v>Pleomorphic Adenoma</v>
      </c>
      <c r="F148" s="518" t="s">
        <v>571</v>
      </c>
      <c r="G148" s="559" t="s">
        <v>372</v>
      </c>
      <c r="H148" s="557" t="s">
        <v>60</v>
      </c>
    </row>
    <row r="149" spans="1:8">
      <c r="A149" s="402"/>
      <c r="B149" s="516" t="s">
        <v>5</v>
      </c>
      <c r="C149" s="519" t="s">
        <v>572</v>
      </c>
      <c r="D149" s="331"/>
      <c r="E149" s="517" t="str">
        <f t="shared" si="11"/>
        <v>Sialoblastoma</v>
      </c>
      <c r="F149" s="518" t="s">
        <v>573</v>
      </c>
      <c r="G149" s="559" t="s">
        <v>372</v>
      </c>
      <c r="H149" s="557" t="s">
        <v>60</v>
      </c>
    </row>
    <row r="150" spans="1:8">
      <c r="A150" s="402"/>
      <c r="B150" s="520" t="s">
        <v>5</v>
      </c>
      <c r="C150" s="330" t="s">
        <v>574</v>
      </c>
      <c r="D150" s="331"/>
      <c r="E150" s="517" t="str">
        <f t="shared" si="11"/>
        <v>Salivary Gland Anlage Tumor</v>
      </c>
      <c r="F150" s="518" t="s">
        <v>575</v>
      </c>
      <c r="G150" s="559" t="s">
        <v>372</v>
      </c>
      <c r="H150" s="557" t="s">
        <v>285</v>
      </c>
    </row>
    <row r="151" spans="1:8">
      <c r="A151" s="423"/>
      <c r="B151" s="520" t="s">
        <v>5</v>
      </c>
      <c r="C151" s="330" t="s">
        <v>576</v>
      </c>
      <c r="D151" s="331"/>
      <c r="E151" s="517" t="str">
        <f t="shared" si="11"/>
        <v>Odontogenic Carcinoma</v>
      </c>
      <c r="F151" s="518" t="s">
        <v>577</v>
      </c>
      <c r="G151" s="559" t="s">
        <v>372</v>
      </c>
      <c r="H151" s="557" t="s">
        <v>285</v>
      </c>
    </row>
    <row r="152" spans="1:8">
      <c r="A152" s="402"/>
      <c r="B152" s="520" t="s">
        <v>5</v>
      </c>
      <c r="C152" s="330" t="s">
        <v>578</v>
      </c>
      <c r="D152" s="331"/>
      <c r="E152" s="517" t="str">
        <f t="shared" si="11"/>
        <v>Adenomatoid Odontogenic Tumor</v>
      </c>
      <c r="F152" s="518" t="s">
        <v>579</v>
      </c>
      <c r="G152" s="559" t="s">
        <v>372</v>
      </c>
      <c r="H152" s="557" t="s">
        <v>285</v>
      </c>
    </row>
    <row r="153" spans="1:8">
      <c r="A153" s="402"/>
      <c r="B153" s="516" t="s">
        <v>5</v>
      </c>
      <c r="C153" s="519" t="s">
        <v>580</v>
      </c>
      <c r="D153" s="331"/>
      <c r="E153" s="517" t="str">
        <f t="shared" si="11"/>
        <v>Nasopharyngeal Carcinoma</v>
      </c>
      <c r="F153" s="518" t="s">
        <v>581</v>
      </c>
      <c r="G153" s="559" t="s">
        <v>372</v>
      </c>
      <c r="H153" s="557" t="s">
        <v>60</v>
      </c>
    </row>
    <row r="154" spans="1:8">
      <c r="A154" s="402"/>
      <c r="B154" s="520" t="s">
        <v>5</v>
      </c>
      <c r="C154" s="330" t="s">
        <v>582</v>
      </c>
      <c r="D154" s="331"/>
      <c r="E154" s="518" t="str">
        <f t="shared" si="11"/>
        <v>Chondromesenchymal Hamartoma</v>
      </c>
      <c r="F154" s="518" t="s">
        <v>583</v>
      </c>
      <c r="G154" s="559" t="s">
        <v>372</v>
      </c>
      <c r="H154" s="557" t="s">
        <v>60</v>
      </c>
    </row>
    <row r="155" spans="1:8">
      <c r="A155" s="402"/>
      <c r="B155" s="516" t="s">
        <v>5</v>
      </c>
      <c r="C155" s="330" t="s">
        <v>584</v>
      </c>
      <c r="D155" s="331"/>
      <c r="E155" s="517" t="str">
        <f t="shared" si="11"/>
        <v>NUT Carcinoma</v>
      </c>
      <c r="F155" s="518" t="s">
        <v>585</v>
      </c>
      <c r="G155" s="559" t="s">
        <v>372</v>
      </c>
      <c r="H155" s="557" t="s">
        <v>60</v>
      </c>
    </row>
    <row r="156" spans="1:8">
      <c r="A156" s="402"/>
      <c r="B156" s="516" t="s">
        <v>5</v>
      </c>
      <c r="C156" s="330" t="s">
        <v>586</v>
      </c>
      <c r="D156" s="331"/>
      <c r="E156" s="517" t="str">
        <f>C156</f>
        <v>Dyskeratosis Congenita</v>
      </c>
      <c r="F156" s="518" t="s">
        <v>587</v>
      </c>
      <c r="G156" s="559" t="s">
        <v>372</v>
      </c>
      <c r="H156" s="557" t="s">
        <v>285</v>
      </c>
    </row>
    <row r="157" spans="1:8">
      <c r="A157" s="402"/>
      <c r="B157" s="516" t="s">
        <v>5</v>
      </c>
      <c r="C157" s="330" t="s">
        <v>588</v>
      </c>
      <c r="D157" s="331"/>
      <c r="E157" s="517" t="str">
        <f>C157</f>
        <v>Sinonasal Squamous Cell Carcinoma</v>
      </c>
      <c r="F157" s="518" t="s">
        <v>589</v>
      </c>
      <c r="G157" s="559" t="s">
        <v>372</v>
      </c>
      <c r="H157" s="557" t="s">
        <v>64</v>
      </c>
    </row>
    <row r="158" spans="1:8">
      <c r="A158" s="402"/>
      <c r="B158" s="521" t="s">
        <v>5</v>
      </c>
      <c r="C158" s="522" t="s">
        <v>590</v>
      </c>
      <c r="D158" s="523"/>
      <c r="E158" s="524" t="str">
        <f t="shared" si="11"/>
        <v>Head and Neck, NOS</v>
      </c>
      <c r="F158" s="525" t="s">
        <v>591</v>
      </c>
      <c r="G158" s="563" t="s">
        <v>372</v>
      </c>
      <c r="H158" s="557" t="s">
        <v>64</v>
      </c>
    </row>
    <row r="159" spans="1:8">
      <c r="A159" s="9" t="s">
        <v>5</v>
      </c>
      <c r="B159" s="526" t="s">
        <v>592</v>
      </c>
      <c r="C159" s="527"/>
      <c r="D159" s="528"/>
      <c r="E159" s="529" t="str">
        <f>B159</f>
        <v>Genital Tumors</v>
      </c>
      <c r="F159" s="529" t="s">
        <v>593</v>
      </c>
      <c r="G159" s="643" t="s">
        <v>57</v>
      </c>
      <c r="H159" s="671" t="s">
        <v>60</v>
      </c>
    </row>
    <row r="160" spans="1:8">
      <c r="A160" s="402"/>
      <c r="B160" s="251" t="s">
        <v>5</v>
      </c>
      <c r="C160" s="252" t="s">
        <v>594</v>
      </c>
      <c r="D160" s="254"/>
      <c r="E160" s="530" t="str">
        <f t="shared" ref="E160:E170" si="12">C160</f>
        <v>Small Cell Carcinoma of the Ovary, Hypercalcemic Type</v>
      </c>
      <c r="F160" s="530" t="s">
        <v>595</v>
      </c>
      <c r="G160" s="253" t="s">
        <v>372</v>
      </c>
      <c r="H160" s="672" t="s">
        <v>60</v>
      </c>
    </row>
    <row r="161" spans="1:8">
      <c r="A161" s="423"/>
      <c r="B161" s="257" t="s">
        <v>5</v>
      </c>
      <c r="C161" s="258" t="s">
        <v>596</v>
      </c>
      <c r="D161" s="260"/>
      <c r="E161" s="530" t="str">
        <f t="shared" si="12"/>
        <v>Serous Cystadenoma</v>
      </c>
      <c r="F161" s="530" t="s">
        <v>597</v>
      </c>
      <c r="G161" s="259" t="s">
        <v>372</v>
      </c>
      <c r="H161" s="672" t="s">
        <v>285</v>
      </c>
    </row>
    <row r="162" spans="1:8" ht="16.5">
      <c r="B162" s="257" t="s">
        <v>5</v>
      </c>
      <c r="C162" s="531" t="s">
        <v>598</v>
      </c>
      <c r="D162" s="260"/>
      <c r="E162" s="530" t="str">
        <f t="shared" si="12"/>
        <v>Mucinous Borderline Tumor</v>
      </c>
      <c r="F162" s="530" t="s">
        <v>599</v>
      </c>
      <c r="G162" s="259" t="s">
        <v>372</v>
      </c>
      <c r="H162" s="672" t="s">
        <v>285</v>
      </c>
    </row>
    <row r="163" spans="1:8" ht="16.5">
      <c r="B163" s="257" t="s">
        <v>5</v>
      </c>
      <c r="C163" s="531" t="s">
        <v>600</v>
      </c>
      <c r="D163" s="260"/>
      <c r="E163" s="530" t="str">
        <f t="shared" si="12"/>
        <v>Mucinous Tumor, NOS</v>
      </c>
      <c r="F163" s="530" t="s">
        <v>601</v>
      </c>
      <c r="G163" s="259" t="s">
        <v>372</v>
      </c>
      <c r="H163" s="672" t="s">
        <v>64</v>
      </c>
    </row>
    <row r="164" spans="1:8">
      <c r="A164" s="423"/>
      <c r="B164" s="257" t="s">
        <v>5</v>
      </c>
      <c r="C164" s="258" t="s">
        <v>602</v>
      </c>
      <c r="D164" s="260"/>
      <c r="E164" s="530" t="str">
        <f t="shared" si="12"/>
        <v>Juvenile Granulosa Cell Tumor</v>
      </c>
      <c r="F164" s="530" t="s">
        <v>603</v>
      </c>
      <c r="G164" s="259" t="s">
        <v>372</v>
      </c>
      <c r="H164" s="672" t="s">
        <v>285</v>
      </c>
    </row>
    <row r="165" spans="1:8">
      <c r="B165" s="257" t="s">
        <v>5</v>
      </c>
      <c r="C165" s="258" t="s">
        <v>604</v>
      </c>
      <c r="D165" s="260"/>
      <c r="E165" s="530" t="str">
        <f t="shared" si="12"/>
        <v>Sclerosing Stromal Tumor</v>
      </c>
      <c r="F165" s="530" t="s">
        <v>605</v>
      </c>
      <c r="G165" s="259" t="s">
        <v>372</v>
      </c>
      <c r="H165" s="672" t="s">
        <v>285</v>
      </c>
    </row>
    <row r="166" spans="1:8">
      <c r="A166" s="423"/>
      <c r="B166" s="257" t="s">
        <v>5</v>
      </c>
      <c r="C166" s="258" t="s">
        <v>606</v>
      </c>
      <c r="D166" s="260"/>
      <c r="E166" s="530" t="str">
        <f t="shared" si="12"/>
        <v>Sertoli-Leydig Cell Tumor</v>
      </c>
      <c r="F166" s="530" t="s">
        <v>607</v>
      </c>
      <c r="G166" s="259" t="s">
        <v>372</v>
      </c>
      <c r="H166" s="672" t="s">
        <v>60</v>
      </c>
    </row>
    <row r="167" spans="1:8">
      <c r="A167" s="402"/>
      <c r="B167" s="257" t="s">
        <v>5</v>
      </c>
      <c r="C167" s="258" t="s">
        <v>608</v>
      </c>
      <c r="D167" s="260"/>
      <c r="E167" s="530" t="str">
        <f t="shared" si="12"/>
        <v>Clear Cell Adenocarcinoma</v>
      </c>
      <c r="F167" s="530" t="s">
        <v>609</v>
      </c>
      <c r="G167" s="259" t="s">
        <v>372</v>
      </c>
      <c r="H167" s="672" t="s">
        <v>285</v>
      </c>
    </row>
    <row r="168" spans="1:8">
      <c r="A168" s="402"/>
      <c r="B168" s="532" t="s">
        <v>5</v>
      </c>
      <c r="C168" s="533" t="s">
        <v>610</v>
      </c>
      <c r="D168" s="534"/>
      <c r="E168" s="530" t="str">
        <f t="shared" si="12"/>
        <v>SMARCA4-Deficient Uterine Sarcoma</v>
      </c>
      <c r="F168" s="530" t="s">
        <v>611</v>
      </c>
      <c r="G168" s="644" t="s">
        <v>403</v>
      </c>
      <c r="H168" s="655" t="s">
        <v>64</v>
      </c>
    </row>
    <row r="169" spans="1:8">
      <c r="A169" s="402"/>
      <c r="B169" s="532" t="s">
        <v>5</v>
      </c>
      <c r="C169" s="258" t="s">
        <v>612</v>
      </c>
      <c r="D169" s="534"/>
      <c r="E169" s="530" t="str">
        <f t="shared" si="12"/>
        <v>Mucinous Carcinoma</v>
      </c>
      <c r="F169" s="530" t="s">
        <v>613</v>
      </c>
      <c r="G169" s="644" t="s">
        <v>372</v>
      </c>
      <c r="H169" s="655" t="s">
        <v>285</v>
      </c>
    </row>
    <row r="170" spans="1:8">
      <c r="A170" s="402"/>
      <c r="B170" s="535" t="s">
        <v>5</v>
      </c>
      <c r="C170" s="536" t="s">
        <v>614</v>
      </c>
      <c r="D170" s="537"/>
      <c r="E170" s="530" t="str">
        <f t="shared" si="12"/>
        <v>Sex Cord-stromal Tumor</v>
      </c>
      <c r="F170" s="530" t="s">
        <v>615</v>
      </c>
      <c r="G170" s="645" t="s">
        <v>372</v>
      </c>
      <c r="H170" s="672" t="s">
        <v>64</v>
      </c>
    </row>
    <row r="171" spans="1:8">
      <c r="A171" s="9" t="s">
        <v>5</v>
      </c>
      <c r="B171" s="538" t="s">
        <v>616</v>
      </c>
      <c r="C171" s="539"/>
      <c r="D171" s="540"/>
      <c r="E171" s="541" t="str">
        <f>B171</f>
        <v>Digestive System Tumors</v>
      </c>
      <c r="F171" s="541" t="s">
        <v>617</v>
      </c>
      <c r="G171" s="646" t="s">
        <v>57</v>
      </c>
      <c r="H171" s="670" t="s">
        <v>60</v>
      </c>
    </row>
    <row r="172" spans="1:8">
      <c r="A172" s="402"/>
      <c r="B172" s="542" t="s">
        <v>5</v>
      </c>
      <c r="C172" s="304" t="s">
        <v>618</v>
      </c>
      <c r="D172" s="543"/>
      <c r="E172" s="544" t="str">
        <f>C172</f>
        <v>Liver Tumors</v>
      </c>
      <c r="F172" s="544" t="s">
        <v>619</v>
      </c>
      <c r="G172" s="646" t="s">
        <v>57</v>
      </c>
      <c r="H172" s="673" t="s">
        <v>60</v>
      </c>
    </row>
    <row r="173" spans="1:8">
      <c r="A173" s="402"/>
      <c r="B173" s="545"/>
      <c r="C173" s="329" t="s">
        <v>5</v>
      </c>
      <c r="D173" s="331" t="s">
        <v>620</v>
      </c>
      <c r="E173" s="518" t="str">
        <f t="shared" ref="E173:E179" si="13">D173</f>
        <v>Hepatoblastoma</v>
      </c>
      <c r="F173" s="518" t="s">
        <v>621</v>
      </c>
      <c r="G173" s="647" t="s">
        <v>618</v>
      </c>
      <c r="H173" s="557" t="s">
        <v>60</v>
      </c>
    </row>
    <row r="174" spans="1:8">
      <c r="B174" s="545"/>
      <c r="C174" s="329" t="s">
        <v>5</v>
      </c>
      <c r="D174" s="331" t="s">
        <v>622</v>
      </c>
      <c r="E174" s="518" t="str">
        <f t="shared" si="13"/>
        <v>Intrahepatic Cholangiocarcinoma</v>
      </c>
      <c r="F174" s="518" t="s">
        <v>623</v>
      </c>
      <c r="G174" s="559" t="s">
        <v>618</v>
      </c>
      <c r="H174" s="557" t="s">
        <v>285</v>
      </c>
    </row>
    <row r="175" spans="1:8">
      <c r="B175" s="545"/>
      <c r="C175" s="329" t="s">
        <v>5</v>
      </c>
      <c r="D175" s="331" t="s">
        <v>624</v>
      </c>
      <c r="E175" s="518" t="str">
        <f t="shared" si="13"/>
        <v>Hepatocellular Carcinoma</v>
      </c>
      <c r="F175" s="518" t="s">
        <v>625</v>
      </c>
      <c r="G175" s="559" t="s">
        <v>618</v>
      </c>
      <c r="H175" s="557" t="s">
        <v>60</v>
      </c>
    </row>
    <row r="176" spans="1:8">
      <c r="B176" s="545"/>
      <c r="C176" s="329" t="s">
        <v>5</v>
      </c>
      <c r="D176" s="331" t="s">
        <v>626</v>
      </c>
      <c r="E176" s="518" t="str">
        <f t="shared" si="13"/>
        <v>Focal Nodular Hyperplasia</v>
      </c>
      <c r="F176" s="518" t="s">
        <v>627</v>
      </c>
      <c r="G176" s="559" t="s">
        <v>618</v>
      </c>
      <c r="H176" s="557" t="s">
        <v>285</v>
      </c>
    </row>
    <row r="177" spans="1:8">
      <c r="A177" s="402"/>
      <c r="B177" s="545"/>
      <c r="C177" s="329" t="s">
        <v>5</v>
      </c>
      <c r="D177" s="331" t="s">
        <v>628</v>
      </c>
      <c r="E177" s="518" t="str">
        <f t="shared" si="13"/>
        <v>Fibrolamellar Variant of Hepatocellular Carcinoma</v>
      </c>
      <c r="F177" s="518" t="s">
        <v>629</v>
      </c>
      <c r="G177" s="559" t="s">
        <v>618</v>
      </c>
      <c r="H177" s="557" t="s">
        <v>60</v>
      </c>
    </row>
    <row r="178" spans="1:8">
      <c r="A178" s="402"/>
      <c r="B178" s="20"/>
      <c r="C178" s="329" t="s">
        <v>5</v>
      </c>
      <c r="D178" s="330" t="s">
        <v>630</v>
      </c>
      <c r="E178" s="558" t="str">
        <f>D178</f>
        <v>Embryonal Sarcoma of the Liver</v>
      </c>
      <c r="F178" s="518" t="s">
        <v>631</v>
      </c>
      <c r="G178" s="559" t="s">
        <v>403</v>
      </c>
      <c r="H178" s="557" t="s">
        <v>60</v>
      </c>
    </row>
    <row r="179" spans="1:8">
      <c r="A179" s="402"/>
      <c r="B179" s="545"/>
      <c r="C179" s="329" t="s">
        <v>5</v>
      </c>
      <c r="D179" s="331" t="s">
        <v>632</v>
      </c>
      <c r="E179" s="518" t="str">
        <f t="shared" si="13"/>
        <v>Liver, NOS</v>
      </c>
      <c r="F179" s="518" t="s">
        <v>633</v>
      </c>
      <c r="G179" s="648" t="s">
        <v>618</v>
      </c>
      <c r="H179" s="557" t="s">
        <v>64</v>
      </c>
    </row>
    <row r="180" spans="1:8">
      <c r="A180" s="402"/>
      <c r="B180" s="542" t="s">
        <v>5</v>
      </c>
      <c r="C180" s="304" t="s">
        <v>634</v>
      </c>
      <c r="D180" s="543"/>
      <c r="E180" s="546" t="str">
        <f>C180</f>
        <v>Pancreatic Tumors</v>
      </c>
      <c r="F180" s="546" t="s">
        <v>635</v>
      </c>
      <c r="G180" s="649" t="s">
        <v>57</v>
      </c>
      <c r="H180" s="673" t="s">
        <v>60</v>
      </c>
    </row>
    <row r="181" spans="1:8" ht="16.5">
      <c r="A181" s="9"/>
      <c r="B181" s="545"/>
      <c r="C181" s="329" t="s">
        <v>5</v>
      </c>
      <c r="D181" s="547" t="s">
        <v>636</v>
      </c>
      <c r="E181" s="515" t="str">
        <f>D181</f>
        <v>Solid Pseudopapillary Neoplasm of the Pancreas</v>
      </c>
      <c r="F181" s="515" t="s">
        <v>637</v>
      </c>
      <c r="G181" s="207" t="s">
        <v>372</v>
      </c>
      <c r="H181" s="557" t="s">
        <v>60</v>
      </c>
    </row>
    <row r="182" spans="1:8">
      <c r="A182" s="9"/>
      <c r="B182" s="545"/>
      <c r="C182" s="329" t="s">
        <v>5</v>
      </c>
      <c r="D182" s="331" t="s">
        <v>638</v>
      </c>
      <c r="E182" s="518" t="str">
        <f>D182</f>
        <v>Pancreatic Neuroendocrine Tumor</v>
      </c>
      <c r="F182" s="518" t="s">
        <v>639</v>
      </c>
      <c r="G182" s="559" t="s">
        <v>372</v>
      </c>
      <c r="H182" s="557" t="s">
        <v>285</v>
      </c>
    </row>
    <row r="183" spans="1:8">
      <c r="A183" s="9"/>
      <c r="B183" s="548"/>
      <c r="C183" s="549" t="s">
        <v>5</v>
      </c>
      <c r="D183" s="550" t="s">
        <v>640</v>
      </c>
      <c r="E183" s="517" t="str">
        <f>D183</f>
        <v>Pancreatic Acinar Cell Carcinoma</v>
      </c>
      <c r="F183" s="518" t="s">
        <v>641</v>
      </c>
      <c r="G183" s="559" t="s">
        <v>372</v>
      </c>
      <c r="H183" s="557" t="s">
        <v>60</v>
      </c>
    </row>
    <row r="184" spans="1:8">
      <c r="A184" s="9"/>
      <c r="B184" s="551" t="s">
        <v>5</v>
      </c>
      <c r="C184" s="38" t="s">
        <v>642</v>
      </c>
      <c r="D184" s="552"/>
      <c r="E184" s="544" t="str">
        <f>C184</f>
        <v>Gastrointestinal Tumors</v>
      </c>
      <c r="F184" s="544" t="s">
        <v>643</v>
      </c>
      <c r="G184" s="650" t="s">
        <v>57</v>
      </c>
      <c r="H184" s="673" t="s">
        <v>60</v>
      </c>
    </row>
    <row r="185" spans="1:8">
      <c r="A185" s="9"/>
      <c r="B185" s="545"/>
      <c r="C185" s="329" t="s">
        <v>5</v>
      </c>
      <c r="D185" s="332" t="s">
        <v>644</v>
      </c>
      <c r="E185" s="517" t="str">
        <f t="shared" ref="E185:E190" si="14">D185</f>
        <v>Colorectal Adenocarcinoma</v>
      </c>
      <c r="F185" s="518" t="s">
        <v>645</v>
      </c>
      <c r="G185" s="559" t="s">
        <v>372</v>
      </c>
      <c r="H185" s="557" t="s">
        <v>285</v>
      </c>
    </row>
    <row r="186" spans="1:8">
      <c r="A186" s="9"/>
      <c r="B186" s="20"/>
      <c r="C186" s="329" t="s">
        <v>5</v>
      </c>
      <c r="D186" s="331" t="s">
        <v>646</v>
      </c>
      <c r="E186" s="37" t="str">
        <f t="shared" si="14"/>
        <v>Gastric Adenocarcinoma</v>
      </c>
      <c r="F186" s="37" t="s">
        <v>647</v>
      </c>
      <c r="G186" s="559" t="s">
        <v>372</v>
      </c>
      <c r="H186" s="674" t="s">
        <v>285</v>
      </c>
    </row>
    <row r="187" spans="1:8">
      <c r="A187" s="9"/>
      <c r="B187" s="545"/>
      <c r="C187" s="329" t="s">
        <v>5</v>
      </c>
      <c r="D187" s="332" t="s">
        <v>648</v>
      </c>
      <c r="E187" s="518" t="str">
        <f t="shared" si="14"/>
        <v>Tubular Adenoma</v>
      </c>
      <c r="F187" s="518" t="s">
        <v>649</v>
      </c>
      <c r="G187" s="559" t="s">
        <v>372</v>
      </c>
      <c r="H187" s="557" t="s">
        <v>285</v>
      </c>
    </row>
    <row r="188" spans="1:8">
      <c r="A188" s="402"/>
      <c r="B188" s="594"/>
      <c r="C188" s="329" t="s">
        <v>5</v>
      </c>
      <c r="D188" s="332" t="s">
        <v>650</v>
      </c>
      <c r="E188" s="518" t="str">
        <f t="shared" si="14"/>
        <v>Signet Ring Cell Carcinoma</v>
      </c>
      <c r="F188" s="518" t="s">
        <v>651</v>
      </c>
      <c r="G188" s="651" t="s">
        <v>372</v>
      </c>
      <c r="H188" s="675" t="s">
        <v>285</v>
      </c>
    </row>
    <row r="189" spans="1:8">
      <c r="A189" s="9"/>
      <c r="B189" s="545"/>
      <c r="C189" s="329" t="s">
        <v>5</v>
      </c>
      <c r="D189" s="332" t="s">
        <v>652</v>
      </c>
      <c r="E189" s="518" t="str">
        <f t="shared" si="14"/>
        <v>Gastrointestinal Stromal Tumor</v>
      </c>
      <c r="F189" s="518" t="s">
        <v>653</v>
      </c>
      <c r="G189" s="559" t="s">
        <v>372</v>
      </c>
      <c r="H189" s="557" t="s">
        <v>60</v>
      </c>
    </row>
    <row r="190" spans="1:8">
      <c r="A190" s="9"/>
      <c r="B190" s="545"/>
      <c r="C190" s="329" t="s">
        <v>5</v>
      </c>
      <c r="D190" s="331" t="s">
        <v>654</v>
      </c>
      <c r="E190" s="518" t="str">
        <f t="shared" si="14"/>
        <v>Gastrointestinal Neuroendocrine Tumor</v>
      </c>
      <c r="F190" s="518" t="s">
        <v>655</v>
      </c>
      <c r="G190" s="563" t="s">
        <v>372</v>
      </c>
      <c r="H190" s="557" t="s">
        <v>64</v>
      </c>
    </row>
    <row r="191" spans="1:8">
      <c r="A191" s="9" t="s">
        <v>5</v>
      </c>
      <c r="B191" s="512" t="s">
        <v>656</v>
      </c>
      <c r="C191" s="553"/>
      <c r="D191" s="553"/>
      <c r="E191" s="554" t="str">
        <f>B191</f>
        <v>Skin Tumors</v>
      </c>
      <c r="F191" s="511" t="s">
        <v>657</v>
      </c>
      <c r="G191" s="646" t="s">
        <v>57</v>
      </c>
      <c r="H191" s="670" t="s">
        <v>60</v>
      </c>
    </row>
    <row r="192" spans="1:8">
      <c r="A192" s="9"/>
      <c r="B192" s="188" t="s">
        <v>5</v>
      </c>
      <c r="C192" s="555" t="s">
        <v>658</v>
      </c>
      <c r="D192" s="189"/>
      <c r="E192" s="556" t="str">
        <f>C192</f>
        <v>Basal Cell Carcinoma</v>
      </c>
      <c r="F192" s="515" t="s">
        <v>659</v>
      </c>
      <c r="G192" s="207" t="s">
        <v>372</v>
      </c>
      <c r="H192" s="557" t="s">
        <v>285</v>
      </c>
    </row>
    <row r="193" spans="1:8">
      <c r="A193" s="9"/>
      <c r="B193" s="520" t="s">
        <v>5</v>
      </c>
      <c r="C193" s="347" t="s">
        <v>660</v>
      </c>
      <c r="D193" s="330"/>
      <c r="E193" s="558" t="str">
        <f t="shared" ref="E193:E213" si="15">C193</f>
        <v>Sebaceous Carcinoma</v>
      </c>
      <c r="F193" s="518" t="s">
        <v>661</v>
      </c>
      <c r="G193" s="559" t="s">
        <v>372</v>
      </c>
      <c r="H193" s="557" t="s">
        <v>285</v>
      </c>
    </row>
    <row r="194" spans="1:8">
      <c r="A194" s="9"/>
      <c r="B194" s="520" t="s">
        <v>5</v>
      </c>
      <c r="C194" s="347" t="s">
        <v>662</v>
      </c>
      <c r="D194" s="330"/>
      <c r="E194" s="558" t="str">
        <f t="shared" si="15"/>
        <v>Melanoma</v>
      </c>
      <c r="F194" s="518" t="s">
        <v>663</v>
      </c>
      <c r="G194" s="559" t="s">
        <v>372</v>
      </c>
      <c r="H194" s="557" t="s">
        <v>60</v>
      </c>
    </row>
    <row r="195" spans="1:8">
      <c r="B195" s="520" t="s">
        <v>5</v>
      </c>
      <c r="C195" s="347" t="s">
        <v>664</v>
      </c>
      <c r="D195" s="330"/>
      <c r="E195" s="558" t="str">
        <f t="shared" si="15"/>
        <v>Nodular Melanoma</v>
      </c>
      <c r="F195" s="518" t="s">
        <v>665</v>
      </c>
      <c r="G195" s="559" t="s">
        <v>372</v>
      </c>
      <c r="H195" s="557" t="s">
        <v>285</v>
      </c>
    </row>
    <row r="196" spans="1:8">
      <c r="B196" s="520" t="s">
        <v>5</v>
      </c>
      <c r="C196" s="347" t="s">
        <v>666</v>
      </c>
      <c r="D196" s="330"/>
      <c r="E196" s="558" t="str">
        <f t="shared" si="15"/>
        <v>Spitz Nevus</v>
      </c>
      <c r="F196" s="518" t="s">
        <v>667</v>
      </c>
      <c r="G196" s="559" t="s">
        <v>372</v>
      </c>
      <c r="H196" s="557" t="s">
        <v>60</v>
      </c>
    </row>
    <row r="197" spans="1:8">
      <c r="B197" s="520" t="s">
        <v>5</v>
      </c>
      <c r="C197" s="347" t="s">
        <v>668</v>
      </c>
      <c r="D197" s="330"/>
      <c r="E197" s="558" t="str">
        <f>C197</f>
        <v>Spitzoid Melanoma</v>
      </c>
      <c r="F197" s="518" t="s">
        <v>669</v>
      </c>
      <c r="G197" s="559" t="s">
        <v>372</v>
      </c>
      <c r="H197" s="557" t="s">
        <v>285</v>
      </c>
    </row>
    <row r="198" spans="1:8">
      <c r="A198" s="402"/>
      <c r="B198" s="520" t="s">
        <v>5</v>
      </c>
      <c r="C198" s="347" t="s">
        <v>670</v>
      </c>
      <c r="D198" s="330"/>
      <c r="E198" s="558" t="str">
        <f t="shared" si="15"/>
        <v>Spitz Melanocytoma</v>
      </c>
      <c r="F198" s="518" t="s">
        <v>671</v>
      </c>
      <c r="G198" s="559" t="s">
        <v>372</v>
      </c>
      <c r="H198" s="557" t="s">
        <v>285</v>
      </c>
    </row>
    <row r="199" spans="1:8">
      <c r="A199" s="402"/>
      <c r="B199" s="520" t="s">
        <v>5</v>
      </c>
      <c r="C199" s="347" t="s">
        <v>672</v>
      </c>
      <c r="D199" s="330"/>
      <c r="E199" s="558" t="str">
        <f t="shared" si="15"/>
        <v>Melanocytic Nevus</v>
      </c>
      <c r="F199" s="518" t="s">
        <v>673</v>
      </c>
      <c r="G199" s="559" t="s">
        <v>372</v>
      </c>
      <c r="H199" s="557" t="s">
        <v>285</v>
      </c>
    </row>
    <row r="200" spans="1:8">
      <c r="A200" s="402"/>
      <c r="B200" s="520" t="s">
        <v>5</v>
      </c>
      <c r="C200" s="347" t="s">
        <v>674</v>
      </c>
      <c r="D200" s="330"/>
      <c r="E200" s="558" t="str">
        <f t="shared" si="15"/>
        <v>Congenital Melanocytic Nevus</v>
      </c>
      <c r="F200" s="518" t="s">
        <v>675</v>
      </c>
      <c r="G200" s="559" t="s">
        <v>372</v>
      </c>
      <c r="H200" s="557" t="s">
        <v>285</v>
      </c>
    </row>
    <row r="201" spans="1:8">
      <c r="A201" s="9"/>
      <c r="B201" s="520" t="s">
        <v>5</v>
      </c>
      <c r="C201" s="347" t="s">
        <v>676</v>
      </c>
      <c r="D201" s="330"/>
      <c r="E201" s="558" t="str">
        <f t="shared" si="15"/>
        <v>Neurothekeoma</v>
      </c>
      <c r="F201" s="518" t="s">
        <v>677</v>
      </c>
      <c r="G201" s="559" t="s">
        <v>372</v>
      </c>
      <c r="H201" s="557" t="s">
        <v>285</v>
      </c>
    </row>
    <row r="202" spans="1:8">
      <c r="A202" s="402"/>
      <c r="B202" s="520" t="s">
        <v>5</v>
      </c>
      <c r="C202" s="347" t="s">
        <v>678</v>
      </c>
      <c r="D202" s="330"/>
      <c r="E202" s="558" t="str">
        <f>C202</f>
        <v>Squamous Cell Carcinoma</v>
      </c>
      <c r="F202" s="518" t="s">
        <v>679</v>
      </c>
      <c r="G202" s="559" t="s">
        <v>372</v>
      </c>
      <c r="H202" s="557" t="s">
        <v>285</v>
      </c>
    </row>
    <row r="203" spans="1:8">
      <c r="A203" s="9"/>
      <c r="B203" s="520" t="s">
        <v>5</v>
      </c>
      <c r="C203" s="347" t="s">
        <v>680</v>
      </c>
      <c r="D203" s="330"/>
      <c r="E203" s="558" t="str">
        <f>C203</f>
        <v>Dysplastic Melanocytic Nevus</v>
      </c>
      <c r="F203" s="518" t="s">
        <v>681</v>
      </c>
      <c r="G203" s="559" t="s">
        <v>372</v>
      </c>
      <c r="H203" s="557" t="s">
        <v>285</v>
      </c>
    </row>
    <row r="204" spans="1:8">
      <c r="A204" s="402"/>
      <c r="B204" s="560" t="s">
        <v>5</v>
      </c>
      <c r="C204" s="561" t="s">
        <v>682</v>
      </c>
      <c r="D204" s="522"/>
      <c r="E204" s="562" t="str">
        <f t="shared" si="15"/>
        <v>Skin Tumor, NOS</v>
      </c>
      <c r="F204" s="525" t="s">
        <v>683</v>
      </c>
      <c r="G204" s="563" t="s">
        <v>372</v>
      </c>
      <c r="H204" s="557" t="s">
        <v>64</v>
      </c>
    </row>
    <row r="205" spans="1:8">
      <c r="A205" s="9" t="s">
        <v>5</v>
      </c>
      <c r="B205" s="538" t="s">
        <v>684</v>
      </c>
      <c r="C205" s="539"/>
      <c r="D205" s="540"/>
      <c r="E205" s="541" t="str">
        <f>B205</f>
        <v>Other</v>
      </c>
      <c r="F205" s="541" t="s">
        <v>685</v>
      </c>
      <c r="G205" s="646" t="s">
        <v>57</v>
      </c>
      <c r="H205" s="670" t="s">
        <v>64</v>
      </c>
    </row>
    <row r="206" spans="1:8">
      <c r="A206" s="423"/>
      <c r="B206" s="520" t="s">
        <v>5</v>
      </c>
      <c r="C206" s="347" t="s">
        <v>686</v>
      </c>
      <c r="D206" s="330"/>
      <c r="E206" s="558" t="str">
        <f t="shared" si="15"/>
        <v>Carcinoma, NOS</v>
      </c>
      <c r="F206" s="518" t="s">
        <v>687</v>
      </c>
      <c r="G206" s="559" t="s">
        <v>372</v>
      </c>
      <c r="H206" s="557" t="s">
        <v>64</v>
      </c>
    </row>
    <row r="207" spans="1:8">
      <c r="A207" s="423"/>
      <c r="B207" s="520" t="s">
        <v>5</v>
      </c>
      <c r="C207" s="347" t="s">
        <v>688</v>
      </c>
      <c r="D207" s="330"/>
      <c r="E207" s="558" t="str">
        <f t="shared" si="15"/>
        <v>Adenoma, NOS</v>
      </c>
      <c r="F207" s="518" t="s">
        <v>689</v>
      </c>
      <c r="G207" s="559" t="s">
        <v>372</v>
      </c>
      <c r="H207" s="557" t="s">
        <v>64</v>
      </c>
    </row>
    <row r="208" spans="1:8" ht="16.5">
      <c r="B208" s="520" t="s">
        <v>5</v>
      </c>
      <c r="C208" s="564" t="s">
        <v>690</v>
      </c>
      <c r="D208" s="330"/>
      <c r="E208" s="558" t="str">
        <f t="shared" si="15"/>
        <v>Solid Tumor, NOS</v>
      </c>
      <c r="F208" s="518" t="s">
        <v>691</v>
      </c>
      <c r="G208" s="559" t="s">
        <v>372</v>
      </c>
      <c r="H208" s="557" t="s">
        <v>64</v>
      </c>
    </row>
    <row r="209" spans="1:8">
      <c r="A209" s="402"/>
      <c r="B209" s="520" t="s">
        <v>5</v>
      </c>
      <c r="C209" s="330" t="s">
        <v>692</v>
      </c>
      <c r="D209" s="330"/>
      <c r="E209" s="558" t="str">
        <f>C209</f>
        <v>Cutaneous Myxoma</v>
      </c>
      <c r="F209" s="518" t="s">
        <v>693</v>
      </c>
      <c r="G209" s="559" t="s">
        <v>403</v>
      </c>
      <c r="H209" s="557" t="s">
        <v>285</v>
      </c>
    </row>
    <row r="210" spans="1:8">
      <c r="A210" s="402"/>
      <c r="B210" s="520" t="s">
        <v>5</v>
      </c>
      <c r="C210" s="330" t="s">
        <v>694</v>
      </c>
      <c r="D210" s="330"/>
      <c r="E210" s="565" t="str">
        <f>C210</f>
        <v>Adenocarcinoma, NOS</v>
      </c>
      <c r="F210" s="37" t="s">
        <v>695</v>
      </c>
      <c r="G210" s="559" t="s">
        <v>372</v>
      </c>
      <c r="H210" s="557" t="s">
        <v>64</v>
      </c>
    </row>
    <row r="211" spans="1:8">
      <c r="A211" s="402"/>
      <c r="B211" s="521" t="s">
        <v>5</v>
      </c>
      <c r="C211" s="522" t="s">
        <v>696</v>
      </c>
      <c r="D211" s="522"/>
      <c r="E211" s="562" t="str">
        <f>C211</f>
        <v>Neuroendocrine Tumor, NOS</v>
      </c>
      <c r="F211" s="525" t="s">
        <v>697</v>
      </c>
      <c r="G211" s="563" t="s">
        <v>282</v>
      </c>
      <c r="H211" s="557" t="s">
        <v>64</v>
      </c>
    </row>
    <row r="212" spans="1:8">
      <c r="A212" s="9" t="s">
        <v>5</v>
      </c>
      <c r="B212" s="538" t="s">
        <v>698</v>
      </c>
      <c r="C212" s="539"/>
      <c r="D212" s="540"/>
      <c r="E212" s="541" t="str">
        <f>B212</f>
        <v>Eye Tumors</v>
      </c>
      <c r="F212" s="541" t="s">
        <v>699</v>
      </c>
      <c r="G212" s="646" t="s">
        <v>57</v>
      </c>
      <c r="H212" s="670" t="s">
        <v>60</v>
      </c>
    </row>
    <row r="213" spans="1:8">
      <c r="A213" s="402"/>
      <c r="B213" s="566" t="s">
        <v>5</v>
      </c>
      <c r="C213" s="567" t="s">
        <v>700</v>
      </c>
      <c r="D213" s="568"/>
      <c r="E213" s="569" t="str">
        <f t="shared" si="15"/>
        <v>Retinoblastoma</v>
      </c>
      <c r="F213" s="569" t="s">
        <v>701</v>
      </c>
      <c r="G213" s="652" t="s">
        <v>700</v>
      </c>
      <c r="H213" s="659" t="s">
        <v>60</v>
      </c>
    </row>
    <row r="214" spans="1:8">
      <c r="A214" s="9" t="s">
        <v>5</v>
      </c>
      <c r="B214" s="570" t="s">
        <v>702</v>
      </c>
      <c r="C214" s="571"/>
      <c r="D214" s="572"/>
      <c r="E214" s="573" t="str">
        <f>B214</f>
        <v>Thoracic Tumors</v>
      </c>
      <c r="F214" s="573" t="s">
        <v>703</v>
      </c>
      <c r="G214" s="642" t="s">
        <v>57</v>
      </c>
      <c r="H214" s="676" t="s">
        <v>60</v>
      </c>
    </row>
    <row r="215" spans="1:8">
      <c r="A215" s="402"/>
      <c r="B215" s="513" t="s">
        <v>5</v>
      </c>
      <c r="C215" s="574" t="s">
        <v>704</v>
      </c>
      <c r="D215" s="189"/>
      <c r="E215" s="575" t="str">
        <f>C215</f>
        <v>Thymoma</v>
      </c>
      <c r="F215" s="515" t="s">
        <v>705</v>
      </c>
      <c r="G215" s="207" t="s">
        <v>372</v>
      </c>
      <c r="H215" s="557" t="s">
        <v>285</v>
      </c>
    </row>
    <row r="216" spans="1:8">
      <c r="A216" s="402"/>
      <c r="B216" s="516" t="s">
        <v>5</v>
      </c>
      <c r="C216" s="519" t="s">
        <v>706</v>
      </c>
      <c r="D216" s="330"/>
      <c r="E216" s="565" t="str">
        <f>C216</f>
        <v>Thymic Carcinoma</v>
      </c>
      <c r="F216" s="518" t="s">
        <v>707</v>
      </c>
      <c r="G216" s="559" t="s">
        <v>372</v>
      </c>
      <c r="H216" s="557" t="s">
        <v>285</v>
      </c>
    </row>
    <row r="217" spans="1:8">
      <c r="B217" s="520" t="s">
        <v>5</v>
      </c>
      <c r="C217" s="330" t="s">
        <v>708</v>
      </c>
      <c r="D217" s="330"/>
      <c r="E217" s="558" t="str">
        <f>C217</f>
        <v>Pleuropulmonary Blastoma</v>
      </c>
      <c r="F217" s="518" t="s">
        <v>709</v>
      </c>
      <c r="G217" s="559" t="s">
        <v>372</v>
      </c>
      <c r="H217" s="576" t="s">
        <v>60</v>
      </c>
    </row>
    <row r="218" spans="1:8">
      <c r="A218" s="9"/>
      <c r="B218" s="560" t="s">
        <v>5</v>
      </c>
      <c r="C218" s="522" t="s">
        <v>710</v>
      </c>
      <c r="D218" s="522"/>
      <c r="E218" s="562" t="str">
        <f>C218</f>
        <v>Pulmonary Blastoma</v>
      </c>
      <c r="F218" s="525" t="s">
        <v>711</v>
      </c>
      <c r="G218" s="563" t="s">
        <v>372</v>
      </c>
      <c r="H218" s="557" t="s">
        <v>285</v>
      </c>
    </row>
  </sheetData>
  <autoFilter ref="A1:H218" xr:uid="{99B9161F-7F67-4B84-A8C7-114AAD319D76}">
    <filterColumn colId="0" showButton="0"/>
    <filterColumn colId="1" showButton="0"/>
    <filterColumn colId="2" showButton="0"/>
  </autoFilter>
  <mergeCells count="2">
    <mergeCell ref="A1:D1"/>
    <mergeCell ref="B2:D2"/>
  </mergeCells>
  <conditionalFormatting sqref="D1:D218">
    <cfRule type="duplicateValues" dxfId="1" priority="12"/>
  </conditionalFormatting>
  <conditionalFormatting sqref="F1:F218">
    <cfRule type="duplicateValues" dxfId="0" priority="14"/>
  </conditionalFormatting>
  <dataValidations count="1">
    <dataValidation type="list" allowBlank="1" showInputMessage="1" showErrorMessage="1" sqref="C114 B65:B67" xr:uid="{0EA51465-8A95-430F-B4B7-7A775AB6CC00}">
      <formula1>"Adipocytic/fat-containing, Fibroblastic/myofibroblastic, Fibrohistocytic/giant cell rich, Perivascular, Smooth muscle, Skeletal muscle, Chondro-osseous, Peripheral nerve, Vascular, Uncertain differentiation, Undifferentiated sarcomas"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EEE89-47FD-F942-8B21-69E701D08B53}">
  <sheetPr codeName="Sheet5"/>
  <dimension ref="A1:I198"/>
  <sheetViews>
    <sheetView tabSelected="1" topLeftCell="D35" workbookViewId="0">
      <selection activeCell="G51" sqref="G51"/>
    </sheetView>
  </sheetViews>
  <sheetFormatPr defaultColWidth="11" defaultRowHeight="15.95"/>
  <cols>
    <col min="1" max="1" width="21.625" bestFit="1" customWidth="1"/>
    <col min="2" max="2" width="27" bestFit="1" customWidth="1"/>
    <col min="3" max="3" width="38" customWidth="1"/>
    <col min="4" max="4" width="69.125" bestFit="1" customWidth="1"/>
    <col min="5" max="5" width="69.125" customWidth="1"/>
    <col min="6" max="6" width="84.875" customWidth="1"/>
    <col min="7" max="7" width="25.5" bestFit="1" customWidth="1"/>
    <col min="8" max="8" width="28.125" customWidth="1"/>
    <col min="9" max="9" width="11" style="237"/>
  </cols>
  <sheetData>
    <row r="1" spans="1:9" ht="24.75" customHeight="1" thickBot="1">
      <c r="A1" s="679" t="s">
        <v>52</v>
      </c>
      <c r="B1" s="679"/>
      <c r="C1" s="679"/>
      <c r="D1" s="679"/>
      <c r="E1" s="679"/>
      <c r="F1" s="24" t="s">
        <v>53</v>
      </c>
      <c r="G1" s="24" t="s">
        <v>54</v>
      </c>
      <c r="H1" s="223" t="s">
        <v>55</v>
      </c>
      <c r="I1" s="235" t="s">
        <v>712</v>
      </c>
    </row>
    <row r="2" spans="1:9" ht="17.100000000000001" thickBot="1">
      <c r="A2" s="21" t="s">
        <v>10</v>
      </c>
      <c r="B2" s="21"/>
      <c r="C2" s="21"/>
      <c r="D2" s="43"/>
      <c r="E2" s="43"/>
      <c r="F2" s="185" t="s">
        <v>10</v>
      </c>
      <c r="G2" s="590" t="s">
        <v>11</v>
      </c>
      <c r="H2" s="586" t="s">
        <v>57</v>
      </c>
      <c r="I2" s="582" t="s">
        <v>60</v>
      </c>
    </row>
    <row r="3" spans="1:9" ht="17.100000000000001" thickBot="1">
      <c r="A3" s="2" t="s">
        <v>5</v>
      </c>
      <c r="B3" s="46" t="s">
        <v>713</v>
      </c>
      <c r="C3" s="45"/>
      <c r="D3" s="143"/>
      <c r="E3" s="143"/>
      <c r="F3" s="585" t="s">
        <v>714</v>
      </c>
      <c r="G3" s="591" t="s">
        <v>715</v>
      </c>
      <c r="H3" s="587" t="s">
        <v>57</v>
      </c>
      <c r="I3" s="583" t="s">
        <v>60</v>
      </c>
    </row>
    <row r="4" spans="1:9" ht="17.100000000000001" thickBot="1">
      <c r="A4" s="1"/>
      <c r="B4" s="80" t="s">
        <v>5</v>
      </c>
      <c r="C4" s="81" t="s">
        <v>716</v>
      </c>
      <c r="D4" s="144"/>
      <c r="E4" s="144"/>
      <c r="F4" s="588" t="s">
        <v>716</v>
      </c>
      <c r="G4" s="589" t="s">
        <v>717</v>
      </c>
      <c r="H4" s="584" t="s">
        <v>57</v>
      </c>
      <c r="I4" s="270" t="s">
        <v>60</v>
      </c>
    </row>
    <row r="5" spans="1:9" ht="17.100000000000001" thickBot="1">
      <c r="A5" s="1"/>
      <c r="B5" s="47"/>
      <c r="C5" s="48" t="s">
        <v>5</v>
      </c>
      <c r="D5" s="49" t="s">
        <v>718</v>
      </c>
      <c r="E5" s="49"/>
      <c r="F5" s="55" t="s">
        <v>718</v>
      </c>
      <c r="G5" s="50" t="s">
        <v>719</v>
      </c>
      <c r="H5" s="14" t="s">
        <v>720</v>
      </c>
      <c r="I5" s="271" t="s">
        <v>60</v>
      </c>
    </row>
    <row r="6" spans="1:9" ht="17.100000000000001" thickBot="1">
      <c r="A6" s="1"/>
      <c r="B6" s="47"/>
      <c r="C6" s="48" t="s">
        <v>5</v>
      </c>
      <c r="D6" s="49" t="s">
        <v>721</v>
      </c>
      <c r="E6" s="49"/>
      <c r="F6" s="55" t="s">
        <v>721</v>
      </c>
      <c r="G6" s="50" t="s">
        <v>722</v>
      </c>
      <c r="H6" s="11" t="s">
        <v>720</v>
      </c>
      <c r="I6" s="271" t="s">
        <v>60</v>
      </c>
    </row>
    <row r="7" spans="1:9" ht="17.100000000000001" thickBot="1">
      <c r="A7" s="1"/>
      <c r="B7" s="47"/>
      <c r="C7" s="48" t="s">
        <v>5</v>
      </c>
      <c r="D7" s="49" t="s">
        <v>723</v>
      </c>
      <c r="E7" s="49"/>
      <c r="F7" s="55" t="s">
        <v>723</v>
      </c>
      <c r="G7" s="50" t="s">
        <v>724</v>
      </c>
      <c r="H7" s="11" t="s">
        <v>720</v>
      </c>
      <c r="I7" s="271" t="s">
        <v>64</v>
      </c>
    </row>
    <row r="8" spans="1:9" ht="17.100000000000001" thickBot="1">
      <c r="A8" s="1"/>
      <c r="B8" s="47"/>
      <c r="C8" s="48" t="s">
        <v>5</v>
      </c>
      <c r="D8" s="49" t="s">
        <v>725</v>
      </c>
      <c r="E8" s="49"/>
      <c r="F8" s="55" t="s">
        <v>725</v>
      </c>
      <c r="G8" s="50" t="s">
        <v>726</v>
      </c>
      <c r="H8" s="11" t="s">
        <v>720</v>
      </c>
      <c r="I8" s="271" t="s">
        <v>727</v>
      </c>
    </row>
    <row r="9" spans="1:9" ht="17.100000000000001" thickBot="1">
      <c r="A9" s="1"/>
      <c r="B9" s="47"/>
      <c r="C9" s="48" t="s">
        <v>5</v>
      </c>
      <c r="D9" s="49" t="s">
        <v>728</v>
      </c>
      <c r="E9" s="49"/>
      <c r="F9" s="55" t="s">
        <v>728</v>
      </c>
      <c r="G9" s="50" t="s">
        <v>729</v>
      </c>
      <c r="H9" s="11" t="s">
        <v>720</v>
      </c>
      <c r="I9" s="271" t="s">
        <v>60</v>
      </c>
    </row>
    <row r="10" spans="1:9" ht="17.100000000000001" thickBot="1">
      <c r="A10" s="1"/>
      <c r="B10" s="47"/>
      <c r="C10" s="48" t="s">
        <v>5</v>
      </c>
      <c r="D10" s="49" t="s">
        <v>730</v>
      </c>
      <c r="E10" s="49"/>
      <c r="F10" s="55" t="s">
        <v>730</v>
      </c>
      <c r="G10" s="50" t="s">
        <v>731</v>
      </c>
      <c r="H10" s="11" t="s">
        <v>720</v>
      </c>
      <c r="I10" s="271" t="s">
        <v>60</v>
      </c>
    </row>
    <row r="11" spans="1:9" ht="17.100000000000001" thickBot="1">
      <c r="A11" s="1"/>
      <c r="B11" s="47"/>
      <c r="C11" s="48" t="s">
        <v>5</v>
      </c>
      <c r="D11" s="49" t="s">
        <v>732</v>
      </c>
      <c r="E11" s="49"/>
      <c r="F11" s="55" t="s">
        <v>732</v>
      </c>
      <c r="G11" s="50" t="s">
        <v>733</v>
      </c>
      <c r="H11" s="11" t="s">
        <v>720</v>
      </c>
      <c r="I11" s="271" t="s">
        <v>727</v>
      </c>
    </row>
    <row r="12" spans="1:9" ht="17.100000000000001" thickBot="1">
      <c r="A12" s="1"/>
      <c r="B12" s="47"/>
      <c r="C12" s="48" t="s">
        <v>5</v>
      </c>
      <c r="D12" s="49" t="s">
        <v>734</v>
      </c>
      <c r="E12" s="49"/>
      <c r="F12" s="55" t="s">
        <v>734</v>
      </c>
      <c r="G12" s="50" t="s">
        <v>735</v>
      </c>
      <c r="H12" s="11" t="s">
        <v>720</v>
      </c>
      <c r="I12" s="271" t="s">
        <v>60</v>
      </c>
    </row>
    <row r="13" spans="1:9" ht="17.100000000000001" thickBot="1">
      <c r="A13" s="1"/>
      <c r="B13" s="47"/>
      <c r="C13" s="48" t="s">
        <v>5</v>
      </c>
      <c r="D13" s="49" t="s">
        <v>736</v>
      </c>
      <c r="E13" s="49"/>
      <c r="F13" s="55" t="s">
        <v>736</v>
      </c>
      <c r="G13" s="50" t="s">
        <v>737</v>
      </c>
      <c r="H13" s="11" t="s">
        <v>720</v>
      </c>
      <c r="I13" s="271" t="s">
        <v>60</v>
      </c>
    </row>
    <row r="14" spans="1:9" ht="17.100000000000001" thickBot="1">
      <c r="A14" s="1"/>
      <c r="B14" s="47"/>
      <c r="C14" s="48" t="s">
        <v>5</v>
      </c>
      <c r="D14" s="49" t="s">
        <v>738</v>
      </c>
      <c r="E14" s="49"/>
      <c r="F14" s="55" t="s">
        <v>738</v>
      </c>
      <c r="G14" s="50" t="s">
        <v>739</v>
      </c>
      <c r="H14" s="11" t="s">
        <v>720</v>
      </c>
      <c r="I14" s="271" t="s">
        <v>64</v>
      </c>
    </row>
    <row r="15" spans="1:9" ht="17.100000000000001" thickBot="1">
      <c r="A15" s="1"/>
      <c r="B15" s="47"/>
      <c r="C15" s="48" t="s">
        <v>5</v>
      </c>
      <c r="D15" s="49" t="s">
        <v>740</v>
      </c>
      <c r="E15" s="49"/>
      <c r="F15" s="55" t="s">
        <v>740</v>
      </c>
      <c r="G15" s="50" t="s">
        <v>741</v>
      </c>
      <c r="H15" s="11" t="s">
        <v>720</v>
      </c>
      <c r="I15" s="271" t="s">
        <v>60</v>
      </c>
    </row>
    <row r="16" spans="1:9" ht="17.100000000000001" thickBot="1">
      <c r="A16" s="1"/>
      <c r="B16" s="47"/>
      <c r="C16" s="48" t="s">
        <v>5</v>
      </c>
      <c r="D16" s="49" t="s">
        <v>742</v>
      </c>
      <c r="E16" s="49"/>
      <c r="F16" s="55" t="s">
        <v>742</v>
      </c>
      <c r="G16" s="50" t="s">
        <v>743</v>
      </c>
      <c r="H16" s="11" t="s">
        <v>720</v>
      </c>
      <c r="I16" s="271" t="s">
        <v>60</v>
      </c>
    </row>
    <row r="17" spans="1:9" ht="17.100000000000001" thickBot="1">
      <c r="A17" s="1"/>
      <c r="B17" s="47"/>
      <c r="C17" s="48" t="s">
        <v>5</v>
      </c>
      <c r="D17" s="49" t="s">
        <v>744</v>
      </c>
      <c r="E17" s="49"/>
      <c r="F17" s="55" t="s">
        <v>744</v>
      </c>
      <c r="G17" s="50" t="s">
        <v>745</v>
      </c>
      <c r="H17" s="11" t="s">
        <v>720</v>
      </c>
      <c r="I17" s="271" t="s">
        <v>64</v>
      </c>
    </row>
    <row r="18" spans="1:9" ht="17.100000000000001" thickBot="1">
      <c r="A18" s="1"/>
      <c r="B18" s="47"/>
      <c r="C18" s="48" t="s">
        <v>5</v>
      </c>
      <c r="D18" s="49" t="s">
        <v>746</v>
      </c>
      <c r="E18" s="49"/>
      <c r="F18" s="55" t="s">
        <v>746</v>
      </c>
      <c r="G18" s="50" t="s">
        <v>747</v>
      </c>
      <c r="H18" s="11" t="s">
        <v>720</v>
      </c>
      <c r="I18" s="271" t="s">
        <v>727</v>
      </c>
    </row>
    <row r="19" spans="1:9" ht="17.100000000000001" thickBot="1">
      <c r="A19" s="1"/>
      <c r="B19" s="47"/>
      <c r="C19" s="48" t="s">
        <v>5</v>
      </c>
      <c r="D19" s="49" t="s">
        <v>748</v>
      </c>
      <c r="E19" s="49"/>
      <c r="F19" s="55" t="s">
        <v>748</v>
      </c>
      <c r="G19" s="50" t="s">
        <v>749</v>
      </c>
      <c r="H19" s="11" t="s">
        <v>720</v>
      </c>
      <c r="I19" s="271" t="s">
        <v>727</v>
      </c>
    </row>
    <row r="20" spans="1:9" ht="17.100000000000001" thickBot="1">
      <c r="A20" s="1"/>
      <c r="B20" s="47"/>
      <c r="C20" s="48" t="s">
        <v>5</v>
      </c>
      <c r="D20" s="49" t="s">
        <v>750</v>
      </c>
      <c r="E20" s="49"/>
      <c r="F20" s="55" t="s">
        <v>750</v>
      </c>
      <c r="G20" s="50" t="s">
        <v>751</v>
      </c>
      <c r="H20" s="11" t="s">
        <v>720</v>
      </c>
      <c r="I20" s="271" t="s">
        <v>60</v>
      </c>
    </row>
    <row r="21" spans="1:9" ht="17.100000000000001" thickBot="1">
      <c r="A21" s="1"/>
      <c r="B21" s="47"/>
      <c r="C21" s="48" t="s">
        <v>5</v>
      </c>
      <c r="D21" s="49" t="s">
        <v>752</v>
      </c>
      <c r="E21" s="49"/>
      <c r="F21" s="55" t="s">
        <v>752</v>
      </c>
      <c r="G21" s="50" t="s">
        <v>753</v>
      </c>
      <c r="H21" s="11" t="s">
        <v>720</v>
      </c>
      <c r="I21" s="271" t="s">
        <v>64</v>
      </c>
    </row>
    <row r="22" spans="1:9" ht="17.100000000000001" thickBot="1">
      <c r="A22" s="1"/>
      <c r="B22" s="47"/>
      <c r="C22" s="48" t="s">
        <v>5</v>
      </c>
      <c r="D22" s="49" t="s">
        <v>754</v>
      </c>
      <c r="E22" s="49"/>
      <c r="F22" s="55" t="s">
        <v>754</v>
      </c>
      <c r="G22" s="50" t="s">
        <v>755</v>
      </c>
      <c r="H22" s="11" t="s">
        <v>720</v>
      </c>
      <c r="I22" s="271" t="s">
        <v>727</v>
      </c>
    </row>
    <row r="23" spans="1:9" ht="17.100000000000001" thickBot="1">
      <c r="A23" s="1"/>
      <c r="B23" s="47"/>
      <c r="C23" s="48" t="s">
        <v>5</v>
      </c>
      <c r="D23" s="49" t="s">
        <v>756</v>
      </c>
      <c r="E23" s="49"/>
      <c r="F23" s="55" t="s">
        <v>756</v>
      </c>
      <c r="G23" s="51" t="s">
        <v>757</v>
      </c>
      <c r="H23" s="11" t="s">
        <v>720</v>
      </c>
      <c r="I23" s="271" t="s">
        <v>727</v>
      </c>
    </row>
    <row r="24" spans="1:9" ht="17.100000000000001" thickBot="1">
      <c r="A24" s="1"/>
      <c r="B24" s="47"/>
      <c r="C24" s="48" t="s">
        <v>5</v>
      </c>
      <c r="D24" s="49" t="s">
        <v>758</v>
      </c>
      <c r="E24" s="49"/>
      <c r="F24" s="55" t="s">
        <v>758</v>
      </c>
      <c r="G24" s="50" t="s">
        <v>759</v>
      </c>
      <c r="H24" s="11" t="s">
        <v>720</v>
      </c>
      <c r="I24" s="271" t="s">
        <v>727</v>
      </c>
    </row>
    <row r="25" spans="1:9" ht="17.100000000000001" thickBot="1">
      <c r="A25" s="1"/>
      <c r="B25" s="47"/>
      <c r="C25" s="48" t="s">
        <v>5</v>
      </c>
      <c r="D25" s="49" t="s">
        <v>760</v>
      </c>
      <c r="E25" s="49"/>
      <c r="F25" s="55" t="s">
        <v>760</v>
      </c>
      <c r="G25" s="50" t="s">
        <v>761</v>
      </c>
      <c r="H25" s="11" t="s">
        <v>720</v>
      </c>
      <c r="I25" s="271" t="s">
        <v>64</v>
      </c>
    </row>
    <row r="26" spans="1:9" ht="17.100000000000001" thickBot="1">
      <c r="A26" s="1"/>
      <c r="B26" s="47"/>
      <c r="C26" s="48" t="s">
        <v>5</v>
      </c>
      <c r="D26" s="49" t="s">
        <v>762</v>
      </c>
      <c r="E26" s="49"/>
      <c r="F26" s="55" t="s">
        <v>762</v>
      </c>
      <c r="G26" s="50" t="s">
        <v>763</v>
      </c>
      <c r="H26" s="11" t="s">
        <v>720</v>
      </c>
      <c r="I26" s="271" t="s">
        <v>64</v>
      </c>
    </row>
    <row r="27" spans="1:9" ht="17.100000000000001" thickBot="1">
      <c r="A27" s="1"/>
      <c r="B27" s="47"/>
      <c r="C27" s="48" t="s">
        <v>5</v>
      </c>
      <c r="D27" s="49" t="s">
        <v>764</v>
      </c>
      <c r="E27" s="49"/>
      <c r="F27" s="55" t="s">
        <v>764</v>
      </c>
      <c r="G27" s="50" t="s">
        <v>765</v>
      </c>
      <c r="H27" s="11" t="s">
        <v>720</v>
      </c>
      <c r="I27" s="271" t="s">
        <v>727</v>
      </c>
    </row>
    <row r="28" spans="1:9" ht="17.100000000000001" thickBot="1">
      <c r="A28" s="1"/>
      <c r="B28" s="47"/>
      <c r="C28" s="48" t="s">
        <v>5</v>
      </c>
      <c r="D28" s="49" t="s">
        <v>766</v>
      </c>
      <c r="E28" s="49"/>
      <c r="F28" s="55" t="s">
        <v>766</v>
      </c>
      <c r="G28" s="50" t="s">
        <v>767</v>
      </c>
      <c r="H28" s="11" t="s">
        <v>720</v>
      </c>
      <c r="I28" s="271" t="s">
        <v>727</v>
      </c>
    </row>
    <row r="29" spans="1:9" ht="17.100000000000001" thickBot="1">
      <c r="A29" s="1"/>
      <c r="B29" s="47"/>
      <c r="C29" s="48" t="s">
        <v>5</v>
      </c>
      <c r="D29" s="49" t="s">
        <v>768</v>
      </c>
      <c r="E29" s="49"/>
      <c r="F29" s="55" t="s">
        <v>768</v>
      </c>
      <c r="G29" s="50" t="s">
        <v>769</v>
      </c>
      <c r="H29" s="11" t="s">
        <v>720</v>
      </c>
      <c r="I29" s="271" t="s">
        <v>60</v>
      </c>
    </row>
    <row r="30" spans="1:9" ht="17.100000000000001" thickBot="1">
      <c r="A30" s="1"/>
      <c r="B30" s="47"/>
      <c r="C30" s="48" t="s">
        <v>5</v>
      </c>
      <c r="D30" s="49" t="s">
        <v>770</v>
      </c>
      <c r="E30" s="49"/>
      <c r="F30" s="55" t="s">
        <v>770</v>
      </c>
      <c r="G30" s="50" t="s">
        <v>771</v>
      </c>
      <c r="H30" s="16" t="s">
        <v>720</v>
      </c>
      <c r="I30" s="271" t="s">
        <v>64</v>
      </c>
    </row>
    <row r="31" spans="1:9" ht="17.100000000000001" thickBot="1">
      <c r="A31" s="1"/>
      <c r="B31" s="74" t="s">
        <v>5</v>
      </c>
      <c r="C31" s="75" t="s">
        <v>772</v>
      </c>
      <c r="D31" s="75"/>
      <c r="E31" s="75"/>
      <c r="F31" s="77" t="s">
        <v>772</v>
      </c>
      <c r="G31" s="78" t="s">
        <v>773</v>
      </c>
      <c r="H31" s="272" t="s">
        <v>57</v>
      </c>
      <c r="I31" s="270" t="s">
        <v>60</v>
      </c>
    </row>
    <row r="32" spans="1:9" ht="17.100000000000001" thickBot="1">
      <c r="A32" s="1"/>
      <c r="B32" s="47"/>
      <c r="C32" s="48" t="s">
        <v>5</v>
      </c>
      <c r="D32" s="49" t="s">
        <v>774</v>
      </c>
      <c r="E32" s="49"/>
      <c r="F32" s="55" t="s">
        <v>774</v>
      </c>
      <c r="G32" s="50" t="s">
        <v>775</v>
      </c>
      <c r="H32" s="14" t="s">
        <v>720</v>
      </c>
      <c r="I32" s="271" t="s">
        <v>64</v>
      </c>
    </row>
    <row r="33" spans="1:9" ht="17.100000000000001" thickBot="1">
      <c r="A33" s="1"/>
      <c r="B33" s="47"/>
      <c r="C33" s="48" t="s">
        <v>5</v>
      </c>
      <c r="D33" s="49" t="s">
        <v>776</v>
      </c>
      <c r="E33" s="49"/>
      <c r="F33" s="55" t="s">
        <v>776</v>
      </c>
      <c r="G33" s="50" t="s">
        <v>777</v>
      </c>
      <c r="H33" s="11" t="s">
        <v>720</v>
      </c>
      <c r="I33" s="271" t="s">
        <v>64</v>
      </c>
    </row>
    <row r="34" spans="1:9" ht="17.100000000000001" thickBot="1">
      <c r="A34" s="1"/>
      <c r="B34" s="47"/>
      <c r="C34" s="48" t="s">
        <v>5</v>
      </c>
      <c r="D34" s="49" t="s">
        <v>778</v>
      </c>
      <c r="E34" s="49"/>
      <c r="F34" s="55" t="s">
        <v>778</v>
      </c>
      <c r="G34" s="50" t="s">
        <v>779</v>
      </c>
      <c r="H34" s="11" t="s">
        <v>720</v>
      </c>
      <c r="I34" s="271" t="s">
        <v>64</v>
      </c>
    </row>
    <row r="35" spans="1:9" ht="17.100000000000001" thickBot="1">
      <c r="A35" s="1"/>
      <c r="B35" s="47"/>
      <c r="C35" s="48" t="s">
        <v>5</v>
      </c>
      <c r="D35" s="49" t="s">
        <v>780</v>
      </c>
      <c r="E35" s="49"/>
      <c r="F35" s="55" t="s">
        <v>780</v>
      </c>
      <c r="G35" s="50" t="s">
        <v>781</v>
      </c>
      <c r="H35" s="11" t="s">
        <v>720</v>
      </c>
      <c r="I35" s="271" t="s">
        <v>64</v>
      </c>
    </row>
    <row r="36" spans="1:9" ht="17.100000000000001" thickBot="1">
      <c r="A36" s="1"/>
      <c r="B36" s="47"/>
      <c r="C36" s="48" t="s">
        <v>5</v>
      </c>
      <c r="D36" s="49" t="s">
        <v>782</v>
      </c>
      <c r="E36" s="49"/>
      <c r="F36" s="55" t="s">
        <v>782</v>
      </c>
      <c r="G36" s="50" t="s">
        <v>783</v>
      </c>
      <c r="H36" s="11" t="s">
        <v>720</v>
      </c>
      <c r="I36" s="271" t="s">
        <v>64</v>
      </c>
    </row>
    <row r="37" spans="1:9" ht="17.100000000000001" thickBot="1">
      <c r="A37" s="1"/>
      <c r="B37" s="47"/>
      <c r="C37" s="48" t="s">
        <v>5</v>
      </c>
      <c r="D37" s="49" t="s">
        <v>784</v>
      </c>
      <c r="E37" s="49"/>
      <c r="F37" s="55" t="s">
        <v>784</v>
      </c>
      <c r="G37" s="50" t="s">
        <v>785</v>
      </c>
      <c r="H37" s="11" t="s">
        <v>720</v>
      </c>
      <c r="I37" s="271" t="s">
        <v>64</v>
      </c>
    </row>
    <row r="38" spans="1:9" ht="17.100000000000001" thickBot="1">
      <c r="A38" s="1"/>
      <c r="B38" s="47"/>
      <c r="C38" s="48" t="s">
        <v>5</v>
      </c>
      <c r="D38" s="49" t="s">
        <v>786</v>
      </c>
      <c r="E38" s="49"/>
      <c r="F38" s="55" t="s">
        <v>786</v>
      </c>
      <c r="G38" s="50" t="s">
        <v>787</v>
      </c>
      <c r="H38" s="11" t="s">
        <v>720</v>
      </c>
      <c r="I38" s="271" t="s">
        <v>64</v>
      </c>
    </row>
    <row r="39" spans="1:9" ht="17.100000000000001" thickBot="1">
      <c r="A39" s="1"/>
      <c r="B39" s="47"/>
      <c r="C39" s="48" t="s">
        <v>5</v>
      </c>
      <c r="D39" s="49" t="s">
        <v>788</v>
      </c>
      <c r="E39" s="49"/>
      <c r="F39" s="55" t="s">
        <v>788</v>
      </c>
      <c r="G39" s="50" t="s">
        <v>789</v>
      </c>
      <c r="H39" s="11" t="s">
        <v>720</v>
      </c>
      <c r="I39" s="271" t="s">
        <v>64</v>
      </c>
    </row>
    <row r="40" spans="1:9" ht="17.100000000000001" thickBot="1">
      <c r="A40" s="1"/>
      <c r="B40" s="47"/>
      <c r="C40" s="48" t="s">
        <v>5</v>
      </c>
      <c r="D40" s="49" t="s">
        <v>790</v>
      </c>
      <c r="E40" s="49"/>
      <c r="F40" s="55" t="s">
        <v>790</v>
      </c>
      <c r="G40" s="50" t="s">
        <v>791</v>
      </c>
      <c r="H40" s="11" t="s">
        <v>720</v>
      </c>
      <c r="I40" s="271" t="s">
        <v>64</v>
      </c>
    </row>
    <row r="41" spans="1:9" ht="17.100000000000001" thickBot="1">
      <c r="A41" s="1"/>
      <c r="B41" s="47"/>
      <c r="C41" s="48" t="s">
        <v>5</v>
      </c>
      <c r="D41" s="49" t="s">
        <v>792</v>
      </c>
      <c r="E41" s="49"/>
      <c r="F41" s="55" t="s">
        <v>792</v>
      </c>
      <c r="G41" s="50" t="s">
        <v>793</v>
      </c>
      <c r="H41" s="11" t="s">
        <v>720</v>
      </c>
      <c r="I41" s="271" t="s">
        <v>64</v>
      </c>
    </row>
    <row r="42" spans="1:9" ht="17.100000000000001" thickBot="1">
      <c r="A42" s="1"/>
      <c r="B42" s="47"/>
      <c r="C42" s="48" t="s">
        <v>5</v>
      </c>
      <c r="D42" s="49" t="s">
        <v>794</v>
      </c>
      <c r="E42" s="49"/>
      <c r="F42" s="55" t="s">
        <v>794</v>
      </c>
      <c r="G42" s="50" t="s">
        <v>795</v>
      </c>
      <c r="H42" s="16" t="s">
        <v>720</v>
      </c>
      <c r="I42" s="271" t="s">
        <v>64</v>
      </c>
    </row>
    <row r="43" spans="1:9" ht="17.100000000000001" thickBot="1">
      <c r="A43" s="1"/>
      <c r="B43" s="74" t="s">
        <v>5</v>
      </c>
      <c r="C43" s="75" t="s">
        <v>796</v>
      </c>
      <c r="D43" s="75"/>
      <c r="E43" s="75"/>
      <c r="F43" s="77" t="s">
        <v>796</v>
      </c>
      <c r="G43" s="79" t="s">
        <v>797</v>
      </c>
      <c r="H43" s="76" t="s">
        <v>796</v>
      </c>
      <c r="I43" s="270" t="s">
        <v>60</v>
      </c>
    </row>
    <row r="44" spans="1:9" ht="17.100000000000001" thickBot="1">
      <c r="A44" s="1"/>
      <c r="B44" s="52"/>
      <c r="C44" s="48" t="s">
        <v>5</v>
      </c>
      <c r="D44" s="49" t="s">
        <v>798</v>
      </c>
      <c r="E44" s="49"/>
      <c r="F44" s="55" t="s">
        <v>798</v>
      </c>
      <c r="G44" s="51" t="s">
        <v>799</v>
      </c>
      <c r="H44" s="14" t="s">
        <v>796</v>
      </c>
      <c r="I44" s="271" t="s">
        <v>60</v>
      </c>
    </row>
    <row r="45" spans="1:9" ht="17.100000000000001" thickBot="1">
      <c r="A45" s="1"/>
      <c r="B45" s="52"/>
      <c r="C45" s="48" t="s">
        <v>5</v>
      </c>
      <c r="D45" s="49" t="s">
        <v>800</v>
      </c>
      <c r="E45" s="49"/>
      <c r="F45" s="55" t="s">
        <v>800</v>
      </c>
      <c r="G45" s="51" t="s">
        <v>801</v>
      </c>
      <c r="H45" s="16" t="s">
        <v>796</v>
      </c>
      <c r="I45" s="271" t="s">
        <v>60</v>
      </c>
    </row>
    <row r="46" spans="1:9" ht="17.100000000000001" thickBot="1">
      <c r="A46" s="1"/>
      <c r="B46" s="74" t="s">
        <v>5</v>
      </c>
      <c r="C46" s="75" t="s">
        <v>802</v>
      </c>
      <c r="D46" s="75"/>
      <c r="E46" s="75"/>
      <c r="F46" s="77" t="s">
        <v>802</v>
      </c>
      <c r="G46" s="79" t="s">
        <v>803</v>
      </c>
      <c r="H46" s="76" t="s">
        <v>802</v>
      </c>
      <c r="I46" s="270" t="s">
        <v>64</v>
      </c>
    </row>
    <row r="47" spans="1:9" ht="17.100000000000001" thickBot="1">
      <c r="A47" s="1"/>
      <c r="B47" s="52"/>
      <c r="C47" s="48" t="s">
        <v>5</v>
      </c>
      <c r="D47" s="49" t="s">
        <v>804</v>
      </c>
      <c r="E47" s="49"/>
      <c r="F47" s="55" t="s">
        <v>804</v>
      </c>
      <c r="G47" s="51" t="s">
        <v>805</v>
      </c>
      <c r="H47" s="14" t="s">
        <v>802</v>
      </c>
      <c r="I47" s="271" t="s">
        <v>64</v>
      </c>
    </row>
    <row r="48" spans="1:9" ht="17.100000000000001" thickBot="1">
      <c r="A48" s="1"/>
      <c r="B48" s="52"/>
      <c r="C48" s="48" t="s">
        <v>5</v>
      </c>
      <c r="D48" s="49" t="s">
        <v>806</v>
      </c>
      <c r="E48" s="49"/>
      <c r="F48" s="55" t="s">
        <v>806</v>
      </c>
      <c r="G48" s="51" t="s">
        <v>807</v>
      </c>
      <c r="H48" s="11" t="s">
        <v>802</v>
      </c>
      <c r="I48" s="271" t="s">
        <v>60</v>
      </c>
    </row>
    <row r="49" spans="1:9" ht="17.100000000000001" thickBot="1">
      <c r="A49" s="1"/>
      <c r="B49" s="47"/>
      <c r="C49" s="48" t="s">
        <v>5</v>
      </c>
      <c r="D49" s="49" t="s">
        <v>808</v>
      </c>
      <c r="E49" s="49"/>
      <c r="F49" s="55" t="s">
        <v>808</v>
      </c>
      <c r="G49" s="51" t="s">
        <v>809</v>
      </c>
      <c r="H49" s="11" t="s">
        <v>802</v>
      </c>
      <c r="I49" s="271" t="s">
        <v>60</v>
      </c>
    </row>
    <row r="50" spans="1:9" ht="15.75">
      <c r="A50" s="1"/>
      <c r="B50" s="47"/>
      <c r="C50" s="48" t="s">
        <v>5</v>
      </c>
      <c r="D50" s="49" t="s">
        <v>810</v>
      </c>
      <c r="E50" s="49"/>
      <c r="F50" s="55" t="s">
        <v>810</v>
      </c>
      <c r="G50" s="50" t="s">
        <v>811</v>
      </c>
      <c r="H50" s="11" t="s">
        <v>802</v>
      </c>
      <c r="I50" s="271" t="s">
        <v>60</v>
      </c>
    </row>
    <row r="51" spans="1:9" ht="15.75">
      <c r="A51" s="1"/>
      <c r="B51" s="47"/>
      <c r="C51" s="48" t="s">
        <v>5</v>
      </c>
      <c r="D51" s="49" t="s">
        <v>812</v>
      </c>
      <c r="E51" s="49"/>
      <c r="F51" s="55" t="s">
        <v>812</v>
      </c>
      <c r="G51" s="50" t="s">
        <v>813</v>
      </c>
      <c r="H51" s="11" t="s">
        <v>802</v>
      </c>
      <c r="I51" s="271" t="s">
        <v>60</v>
      </c>
    </row>
    <row r="52" spans="1:9" ht="17.100000000000001" thickBot="1">
      <c r="A52" s="1"/>
      <c r="B52" s="47"/>
      <c r="C52" s="48" t="s">
        <v>5</v>
      </c>
      <c r="D52" s="49" t="s">
        <v>814</v>
      </c>
      <c r="E52" s="49"/>
      <c r="F52" s="55" t="s">
        <v>814</v>
      </c>
      <c r="G52" s="50" t="s">
        <v>815</v>
      </c>
      <c r="H52" s="11" t="s">
        <v>802</v>
      </c>
      <c r="I52" s="271" t="s">
        <v>60</v>
      </c>
    </row>
    <row r="53" spans="1:9" ht="17.100000000000001" thickBot="1">
      <c r="A53" s="1"/>
      <c r="B53" s="47"/>
      <c r="C53" s="48" t="s">
        <v>5</v>
      </c>
      <c r="D53" s="49" t="s">
        <v>816</v>
      </c>
      <c r="E53" s="49"/>
      <c r="F53" s="55" t="s">
        <v>816</v>
      </c>
      <c r="G53" s="50" t="s">
        <v>817</v>
      </c>
      <c r="H53" s="11" t="s">
        <v>802</v>
      </c>
      <c r="I53" s="271" t="s">
        <v>727</v>
      </c>
    </row>
    <row r="54" spans="1:9" ht="15.75">
      <c r="A54" s="1"/>
      <c r="B54" s="47"/>
      <c r="C54" s="48" t="s">
        <v>5</v>
      </c>
      <c r="D54" s="49" t="s">
        <v>818</v>
      </c>
      <c r="E54" s="49"/>
      <c r="F54" s="55" t="s">
        <v>818</v>
      </c>
      <c r="G54" s="50" t="s">
        <v>819</v>
      </c>
      <c r="H54" s="11" t="s">
        <v>802</v>
      </c>
      <c r="I54" s="271" t="s">
        <v>727</v>
      </c>
    </row>
    <row r="55" spans="1:9" ht="17.100000000000001" thickBot="1">
      <c r="A55" s="1"/>
      <c r="B55" s="47"/>
      <c r="C55" s="48" t="s">
        <v>5</v>
      </c>
      <c r="D55" s="49" t="s">
        <v>820</v>
      </c>
      <c r="E55" s="49"/>
      <c r="F55" s="55" t="s">
        <v>820</v>
      </c>
      <c r="G55" s="50" t="s">
        <v>821</v>
      </c>
      <c r="H55" s="11" t="s">
        <v>802</v>
      </c>
      <c r="I55" s="271" t="s">
        <v>60</v>
      </c>
    </row>
    <row r="56" spans="1:9" ht="17.100000000000001" thickBot="1">
      <c r="A56" s="1"/>
      <c r="B56" s="47"/>
      <c r="C56" s="48" t="s">
        <v>5</v>
      </c>
      <c r="D56" s="49" t="s">
        <v>822</v>
      </c>
      <c r="E56" s="49"/>
      <c r="F56" s="55" t="s">
        <v>822</v>
      </c>
      <c r="G56" s="50" t="s">
        <v>823</v>
      </c>
      <c r="H56" s="11" t="s">
        <v>802</v>
      </c>
      <c r="I56" s="271" t="s">
        <v>727</v>
      </c>
    </row>
    <row r="57" spans="1:9" ht="17.100000000000001" thickBot="1">
      <c r="A57" s="1"/>
      <c r="B57" s="47"/>
      <c r="C57" s="48" t="s">
        <v>5</v>
      </c>
      <c r="D57" s="49" t="s">
        <v>824</v>
      </c>
      <c r="E57" s="49"/>
      <c r="F57" s="55" t="s">
        <v>824</v>
      </c>
      <c r="G57" s="50" t="s">
        <v>825</v>
      </c>
      <c r="H57" s="11" t="s">
        <v>802</v>
      </c>
      <c r="I57" s="271" t="s">
        <v>60</v>
      </c>
    </row>
    <row r="58" spans="1:9" ht="17.100000000000001" thickBot="1">
      <c r="A58" s="1"/>
      <c r="B58" s="47"/>
      <c r="C58" s="48" t="s">
        <v>5</v>
      </c>
      <c r="D58" s="49" t="s">
        <v>826</v>
      </c>
      <c r="E58" s="49"/>
      <c r="F58" s="55" t="s">
        <v>826</v>
      </c>
      <c r="G58" s="50" t="s">
        <v>827</v>
      </c>
      <c r="H58" s="11" t="s">
        <v>802</v>
      </c>
      <c r="I58" s="271" t="s">
        <v>60</v>
      </c>
    </row>
    <row r="59" spans="1:9" ht="17.100000000000001" thickBot="1">
      <c r="A59" s="1"/>
      <c r="B59" s="47"/>
      <c r="C59" s="48" t="s">
        <v>5</v>
      </c>
      <c r="D59" s="49" t="s">
        <v>828</v>
      </c>
      <c r="E59" s="49"/>
      <c r="F59" s="55" t="s">
        <v>828</v>
      </c>
      <c r="G59" s="50" t="s">
        <v>829</v>
      </c>
      <c r="H59" s="11" t="s">
        <v>802</v>
      </c>
      <c r="I59" s="271" t="s">
        <v>60</v>
      </c>
    </row>
    <row r="60" spans="1:9" ht="17.100000000000001" thickBot="1">
      <c r="A60" s="1"/>
      <c r="B60" s="47"/>
      <c r="C60" s="48" t="s">
        <v>5</v>
      </c>
      <c r="D60" s="49" t="s">
        <v>830</v>
      </c>
      <c r="E60" s="49"/>
      <c r="F60" s="55" t="s">
        <v>830</v>
      </c>
      <c r="G60" s="50" t="s">
        <v>831</v>
      </c>
      <c r="H60" s="11" t="s">
        <v>802</v>
      </c>
      <c r="I60" s="271" t="s">
        <v>60</v>
      </c>
    </row>
    <row r="61" spans="1:9" ht="17.100000000000001" thickBot="1">
      <c r="A61" s="1"/>
      <c r="B61" s="88" t="s">
        <v>5</v>
      </c>
      <c r="C61" s="89" t="s">
        <v>832</v>
      </c>
      <c r="D61" s="94"/>
      <c r="E61" s="94"/>
      <c r="F61" s="95" t="s">
        <v>832</v>
      </c>
      <c r="G61" s="96" t="s">
        <v>833</v>
      </c>
      <c r="H61" s="273" t="s">
        <v>720</v>
      </c>
      <c r="I61" s="282" t="s">
        <v>64</v>
      </c>
    </row>
    <row r="62" spans="1:9" ht="17.100000000000001" thickBot="1">
      <c r="A62" s="1"/>
      <c r="B62" s="88" t="s">
        <v>5</v>
      </c>
      <c r="C62" s="89" t="s">
        <v>834</v>
      </c>
      <c r="D62" s="94"/>
      <c r="E62" s="94"/>
      <c r="F62" s="95" t="s">
        <v>834</v>
      </c>
      <c r="G62" s="97" t="s">
        <v>835</v>
      </c>
      <c r="H62" s="273" t="s">
        <v>836</v>
      </c>
      <c r="I62" s="282" t="s">
        <v>64</v>
      </c>
    </row>
    <row r="63" spans="1:9" ht="17.100000000000001" thickBot="1">
      <c r="A63" s="1"/>
      <c r="B63" s="88" t="s">
        <v>5</v>
      </c>
      <c r="C63" s="89" t="s">
        <v>837</v>
      </c>
      <c r="D63" s="98"/>
      <c r="E63" s="98"/>
      <c r="F63" s="95" t="s">
        <v>837</v>
      </c>
      <c r="G63" s="99" t="s">
        <v>838</v>
      </c>
      <c r="H63" s="273" t="s">
        <v>836</v>
      </c>
      <c r="I63" s="282" t="s">
        <v>64</v>
      </c>
    </row>
    <row r="64" spans="1:9" ht="17.100000000000001" thickBot="1">
      <c r="A64" s="2" t="s">
        <v>5</v>
      </c>
      <c r="B64" s="82" t="s">
        <v>839</v>
      </c>
      <c r="C64" s="66"/>
      <c r="D64" s="67"/>
      <c r="E64" s="67"/>
      <c r="F64" s="68" t="s">
        <v>839</v>
      </c>
      <c r="G64" s="69" t="s">
        <v>840</v>
      </c>
      <c r="H64" s="274" t="s">
        <v>57</v>
      </c>
      <c r="I64" s="283" t="s">
        <v>60</v>
      </c>
    </row>
    <row r="65" spans="1:9" ht="17.100000000000001" thickBot="1">
      <c r="B65" s="88" t="s">
        <v>5</v>
      </c>
      <c r="C65" s="89" t="s">
        <v>841</v>
      </c>
      <c r="D65" s="92"/>
      <c r="E65" s="92"/>
      <c r="F65" s="117" t="s">
        <v>841</v>
      </c>
      <c r="G65" s="120" t="s">
        <v>842</v>
      </c>
      <c r="H65" s="275" t="s">
        <v>843</v>
      </c>
      <c r="I65" s="282" t="s">
        <v>64</v>
      </c>
    </row>
    <row r="66" spans="1:9" ht="17.100000000000001" thickBot="1">
      <c r="A66" s="2"/>
      <c r="B66" s="84" t="s">
        <v>5</v>
      </c>
      <c r="C66" s="85" t="s">
        <v>844</v>
      </c>
      <c r="D66" s="85"/>
      <c r="E66" s="85"/>
      <c r="F66" s="119" t="s">
        <v>844</v>
      </c>
      <c r="G66" s="118" t="s">
        <v>845</v>
      </c>
      <c r="H66" s="224" t="s">
        <v>57</v>
      </c>
      <c r="I66" s="238" t="s">
        <v>60</v>
      </c>
    </row>
    <row r="67" spans="1:9" ht="17.100000000000001" thickBot="1">
      <c r="A67" s="2"/>
      <c r="B67" s="109"/>
      <c r="C67" s="101" t="s">
        <v>5</v>
      </c>
      <c r="D67" s="102" t="s">
        <v>846</v>
      </c>
      <c r="E67" s="102"/>
      <c r="F67" s="113" t="s">
        <v>846</v>
      </c>
      <c r="G67" s="72" t="s">
        <v>847</v>
      </c>
      <c r="H67" s="577" t="s">
        <v>57</v>
      </c>
      <c r="I67" s="240" t="s">
        <v>60</v>
      </c>
    </row>
    <row r="68" spans="1:9" ht="17.100000000000001" thickBot="1">
      <c r="A68" s="1"/>
      <c r="B68" s="110"/>
      <c r="C68" s="104"/>
      <c r="D68" s="104" t="s">
        <v>5</v>
      </c>
      <c r="E68" s="105" t="s">
        <v>848</v>
      </c>
      <c r="F68" s="114" t="s">
        <v>848</v>
      </c>
      <c r="G68" s="72" t="s">
        <v>849</v>
      </c>
      <c r="H68" s="276" t="s">
        <v>843</v>
      </c>
      <c r="I68" s="240" t="s">
        <v>64</v>
      </c>
    </row>
    <row r="69" spans="1:9" ht="17.100000000000001" thickBot="1">
      <c r="A69" s="1"/>
      <c r="B69" s="110"/>
      <c r="C69" s="104"/>
      <c r="D69" s="104" t="s">
        <v>5</v>
      </c>
      <c r="E69" s="105" t="s">
        <v>850</v>
      </c>
      <c r="F69" s="114" t="s">
        <v>850</v>
      </c>
      <c r="G69" s="72" t="s">
        <v>851</v>
      </c>
      <c r="H69" s="276" t="s">
        <v>843</v>
      </c>
      <c r="I69" s="240" t="s">
        <v>60</v>
      </c>
    </row>
    <row r="70" spans="1:9" ht="17.100000000000001" thickBot="1">
      <c r="A70" s="1"/>
      <c r="B70" s="110"/>
      <c r="C70" s="105"/>
      <c r="D70" s="104" t="s">
        <v>5</v>
      </c>
      <c r="E70" s="105" t="s">
        <v>852</v>
      </c>
      <c r="F70" s="114" t="s">
        <v>852</v>
      </c>
      <c r="G70" s="72" t="s">
        <v>853</v>
      </c>
      <c r="H70" s="276" t="s">
        <v>843</v>
      </c>
      <c r="I70" s="240" t="s">
        <v>60</v>
      </c>
    </row>
    <row r="71" spans="1:9" ht="17.100000000000001" thickBot="1">
      <c r="A71" s="1"/>
      <c r="B71" s="110"/>
      <c r="C71" s="105"/>
      <c r="D71" s="104" t="s">
        <v>5</v>
      </c>
      <c r="E71" s="105" t="s">
        <v>854</v>
      </c>
      <c r="F71" s="114" t="s">
        <v>854</v>
      </c>
      <c r="G71" s="72" t="s">
        <v>855</v>
      </c>
      <c r="H71" s="276" t="s">
        <v>843</v>
      </c>
      <c r="I71" s="240" t="s">
        <v>60</v>
      </c>
    </row>
    <row r="72" spans="1:9" ht="17.100000000000001" thickBot="1">
      <c r="A72" s="1"/>
      <c r="B72" s="110"/>
      <c r="C72" s="105"/>
      <c r="D72" s="104" t="s">
        <v>5</v>
      </c>
      <c r="E72" s="105" t="s">
        <v>856</v>
      </c>
      <c r="F72" s="114" t="s">
        <v>856</v>
      </c>
      <c r="G72" s="72" t="s">
        <v>857</v>
      </c>
      <c r="H72" s="276" t="s">
        <v>843</v>
      </c>
      <c r="I72" s="240" t="s">
        <v>60</v>
      </c>
    </row>
    <row r="73" spans="1:9" ht="17.100000000000001" thickBot="1">
      <c r="A73" s="1"/>
      <c r="B73" s="110"/>
      <c r="C73" s="105"/>
      <c r="D73" s="104" t="s">
        <v>5</v>
      </c>
      <c r="E73" s="105" t="s">
        <v>858</v>
      </c>
      <c r="F73" s="114" t="s">
        <v>858</v>
      </c>
      <c r="G73" s="72" t="s">
        <v>859</v>
      </c>
      <c r="H73" s="276" t="s">
        <v>843</v>
      </c>
      <c r="I73" s="240" t="s">
        <v>64</v>
      </c>
    </row>
    <row r="74" spans="1:9" ht="17.100000000000001" thickBot="1">
      <c r="A74" s="1"/>
      <c r="B74" s="103"/>
      <c r="C74" s="105"/>
      <c r="D74" s="104" t="s">
        <v>5</v>
      </c>
      <c r="E74" s="105" t="s">
        <v>860</v>
      </c>
      <c r="F74" s="114" t="s">
        <v>860</v>
      </c>
      <c r="G74" s="72" t="s">
        <v>861</v>
      </c>
      <c r="H74" s="276" t="s">
        <v>843</v>
      </c>
      <c r="I74" s="240" t="s">
        <v>64</v>
      </c>
    </row>
    <row r="75" spans="1:9" ht="17.100000000000001" thickBot="1">
      <c r="A75" s="1"/>
      <c r="B75" s="103"/>
      <c r="C75" s="105"/>
      <c r="D75" s="104" t="s">
        <v>5</v>
      </c>
      <c r="E75" s="105" t="s">
        <v>862</v>
      </c>
      <c r="F75" s="114" t="s">
        <v>862</v>
      </c>
      <c r="G75" s="72" t="s">
        <v>863</v>
      </c>
      <c r="H75" s="276" t="s">
        <v>843</v>
      </c>
      <c r="I75" s="240" t="s">
        <v>64</v>
      </c>
    </row>
    <row r="76" spans="1:9" ht="17.100000000000001" thickBot="1">
      <c r="A76" s="1"/>
      <c r="B76" s="103"/>
      <c r="C76" s="105"/>
      <c r="D76" s="104" t="s">
        <v>5</v>
      </c>
      <c r="E76" s="105" t="s">
        <v>864</v>
      </c>
      <c r="F76" s="114" t="s">
        <v>864</v>
      </c>
      <c r="G76" s="72" t="s">
        <v>865</v>
      </c>
      <c r="H76" s="276" t="s">
        <v>843</v>
      </c>
      <c r="I76" s="240" t="s">
        <v>64</v>
      </c>
    </row>
    <row r="77" spans="1:9" ht="17.100000000000001" thickBot="1">
      <c r="A77" s="1"/>
      <c r="B77" s="103"/>
      <c r="C77" s="105"/>
      <c r="D77" s="104" t="s">
        <v>5</v>
      </c>
      <c r="E77" s="105" t="s">
        <v>866</v>
      </c>
      <c r="F77" s="114" t="s">
        <v>866</v>
      </c>
      <c r="G77" s="72" t="s">
        <v>867</v>
      </c>
      <c r="H77" s="276" t="s">
        <v>843</v>
      </c>
      <c r="I77" s="240" t="s">
        <v>60</v>
      </c>
    </row>
    <row r="78" spans="1:9" ht="17.100000000000001" thickBot="1">
      <c r="A78" s="1"/>
      <c r="B78" s="103"/>
      <c r="C78" s="105"/>
      <c r="D78" s="104" t="s">
        <v>5</v>
      </c>
      <c r="E78" s="105" t="s">
        <v>868</v>
      </c>
      <c r="F78" s="114" t="s">
        <v>868</v>
      </c>
      <c r="G78" s="72" t="s">
        <v>869</v>
      </c>
      <c r="H78" s="276" t="s">
        <v>843</v>
      </c>
      <c r="I78" s="240" t="s">
        <v>64</v>
      </c>
    </row>
    <row r="79" spans="1:9" ht="17.100000000000001" thickBot="1">
      <c r="A79" s="1"/>
      <c r="B79" s="103"/>
      <c r="C79" s="105"/>
      <c r="D79" s="104" t="s">
        <v>5</v>
      </c>
      <c r="E79" s="105" t="s">
        <v>870</v>
      </c>
      <c r="F79" s="114" t="s">
        <v>870</v>
      </c>
      <c r="G79" s="72" t="s">
        <v>871</v>
      </c>
      <c r="H79" s="276" t="s">
        <v>843</v>
      </c>
      <c r="I79" s="240" t="s">
        <v>60</v>
      </c>
    </row>
    <row r="80" spans="1:9" ht="17.100000000000001" thickBot="1">
      <c r="A80" s="1"/>
      <c r="B80" s="103"/>
      <c r="C80" s="105"/>
      <c r="D80" s="104" t="s">
        <v>5</v>
      </c>
      <c r="E80" s="105" t="s">
        <v>872</v>
      </c>
      <c r="F80" s="114" t="s">
        <v>872</v>
      </c>
      <c r="G80" s="72" t="s">
        <v>873</v>
      </c>
      <c r="H80" s="276" t="s">
        <v>843</v>
      </c>
      <c r="I80" s="240" t="s">
        <v>60</v>
      </c>
    </row>
    <row r="81" spans="1:9" ht="17.100000000000001" thickBot="1">
      <c r="A81" s="1"/>
      <c r="B81" s="103"/>
      <c r="C81" s="105"/>
      <c r="D81" s="104" t="s">
        <v>5</v>
      </c>
      <c r="E81" s="105" t="s">
        <v>874</v>
      </c>
      <c r="F81" s="114" t="s">
        <v>874</v>
      </c>
      <c r="G81" s="72" t="s">
        <v>875</v>
      </c>
      <c r="H81" s="276" t="s">
        <v>843</v>
      </c>
      <c r="I81" s="240" t="s">
        <v>60</v>
      </c>
    </row>
    <row r="82" spans="1:9" ht="17.100000000000001" thickBot="1">
      <c r="A82" s="1"/>
      <c r="B82" s="103"/>
      <c r="C82" s="105"/>
      <c r="D82" s="104" t="s">
        <v>5</v>
      </c>
      <c r="E82" s="105" t="s">
        <v>876</v>
      </c>
      <c r="F82" s="114" t="s">
        <v>876</v>
      </c>
      <c r="G82" s="72" t="s">
        <v>877</v>
      </c>
      <c r="H82" s="276" t="s">
        <v>843</v>
      </c>
      <c r="I82" s="240" t="s">
        <v>64</v>
      </c>
    </row>
    <row r="83" spans="1:9" ht="17.100000000000001" thickBot="1">
      <c r="A83" s="1"/>
      <c r="B83" s="103"/>
      <c r="C83" s="105"/>
      <c r="D83" s="104" t="s">
        <v>5</v>
      </c>
      <c r="E83" s="105" t="s">
        <v>878</v>
      </c>
      <c r="F83" s="114" t="s">
        <v>878</v>
      </c>
      <c r="G83" s="72" t="s">
        <v>879</v>
      </c>
      <c r="H83" s="276" t="s">
        <v>843</v>
      </c>
      <c r="I83" s="240" t="s">
        <v>60</v>
      </c>
    </row>
    <row r="84" spans="1:9" ht="17.100000000000001" thickBot="1">
      <c r="A84" s="1"/>
      <c r="B84" s="103"/>
      <c r="C84" s="105"/>
      <c r="D84" s="111" t="s">
        <v>5</v>
      </c>
      <c r="E84" s="116" t="s">
        <v>880</v>
      </c>
      <c r="F84" s="114" t="s">
        <v>880</v>
      </c>
      <c r="G84" s="73" t="s">
        <v>881</v>
      </c>
      <c r="H84" s="276" t="s">
        <v>843</v>
      </c>
      <c r="I84" s="240" t="s">
        <v>64</v>
      </c>
    </row>
    <row r="85" spans="1:9" ht="17.100000000000001" thickBot="1">
      <c r="A85" s="1"/>
      <c r="B85" s="103"/>
      <c r="C85" s="105"/>
      <c r="D85" s="104" t="s">
        <v>5</v>
      </c>
      <c r="E85" s="105" t="s">
        <v>882</v>
      </c>
      <c r="F85" s="114" t="s">
        <v>882</v>
      </c>
      <c r="G85" s="72" t="s">
        <v>883</v>
      </c>
      <c r="H85" s="276" t="s">
        <v>843</v>
      </c>
      <c r="I85" s="240" t="s">
        <v>60</v>
      </c>
    </row>
    <row r="86" spans="1:9" ht="17.100000000000001" thickBot="1">
      <c r="A86" s="1"/>
      <c r="B86" s="103"/>
      <c r="C86" s="105"/>
      <c r="D86" s="104" t="s">
        <v>5</v>
      </c>
      <c r="E86" s="105" t="s">
        <v>884</v>
      </c>
      <c r="F86" s="114" t="s">
        <v>884</v>
      </c>
      <c r="G86" s="72" t="s">
        <v>885</v>
      </c>
      <c r="H86" s="276" t="s">
        <v>843</v>
      </c>
      <c r="I86" s="240" t="s">
        <v>64</v>
      </c>
    </row>
    <row r="87" spans="1:9" ht="17.100000000000001" thickBot="1">
      <c r="A87" s="1"/>
      <c r="B87" s="103"/>
      <c r="C87" s="105"/>
      <c r="D87" s="104" t="s">
        <v>5</v>
      </c>
      <c r="E87" s="105" t="s">
        <v>886</v>
      </c>
      <c r="F87" s="114" t="s">
        <v>886</v>
      </c>
      <c r="G87" s="72" t="s">
        <v>887</v>
      </c>
      <c r="H87" s="276" t="s">
        <v>843</v>
      </c>
      <c r="I87" s="240" t="s">
        <v>64</v>
      </c>
    </row>
    <row r="88" spans="1:9" ht="17.100000000000001" thickBot="1">
      <c r="A88" s="1"/>
      <c r="B88" s="103"/>
      <c r="C88" s="104" t="s">
        <v>5</v>
      </c>
      <c r="D88" s="105" t="s">
        <v>888</v>
      </c>
      <c r="E88" s="105"/>
      <c r="F88" s="114" t="s">
        <v>888</v>
      </c>
      <c r="G88" s="72" t="s">
        <v>889</v>
      </c>
      <c r="H88" s="276" t="s">
        <v>843</v>
      </c>
      <c r="I88" s="240" t="s">
        <v>60</v>
      </c>
    </row>
    <row r="89" spans="1:9" ht="17.100000000000001" thickBot="1">
      <c r="A89" s="1"/>
      <c r="B89" s="103"/>
      <c r="C89" s="104" t="s">
        <v>5</v>
      </c>
      <c r="D89" s="105" t="s">
        <v>890</v>
      </c>
      <c r="E89" s="105"/>
      <c r="F89" s="114" t="s">
        <v>890</v>
      </c>
      <c r="G89" s="72" t="s">
        <v>891</v>
      </c>
      <c r="H89" s="577" t="s">
        <v>57</v>
      </c>
      <c r="I89" s="240" t="s">
        <v>60</v>
      </c>
    </row>
    <row r="90" spans="1:9" ht="17.100000000000001" thickBot="1">
      <c r="A90" s="1"/>
      <c r="B90" s="103"/>
      <c r="C90" s="104"/>
      <c r="D90" s="104" t="s">
        <v>5</v>
      </c>
      <c r="E90" s="105" t="s">
        <v>892</v>
      </c>
      <c r="F90" s="114" t="s">
        <v>892</v>
      </c>
      <c r="G90" s="73" t="s">
        <v>893</v>
      </c>
      <c r="H90" s="276" t="s">
        <v>843</v>
      </c>
      <c r="I90" s="240" t="s">
        <v>60</v>
      </c>
    </row>
    <row r="91" spans="1:9" ht="17.100000000000001" thickBot="1">
      <c r="A91" s="1"/>
      <c r="B91" s="110"/>
      <c r="C91" s="104"/>
      <c r="D91" s="104" t="s">
        <v>5</v>
      </c>
      <c r="E91" s="105" t="s">
        <v>894</v>
      </c>
      <c r="F91" s="114" t="s">
        <v>894</v>
      </c>
      <c r="G91" s="73" t="s">
        <v>895</v>
      </c>
      <c r="H91" s="276" t="s">
        <v>843</v>
      </c>
      <c r="I91" s="240" t="s">
        <v>60</v>
      </c>
    </row>
    <row r="92" spans="1:9" ht="17.100000000000001" thickBot="1">
      <c r="A92" s="1"/>
      <c r="B92" s="110"/>
      <c r="C92" s="104"/>
      <c r="D92" s="104" t="s">
        <v>5</v>
      </c>
      <c r="E92" s="105" t="s">
        <v>896</v>
      </c>
      <c r="F92" s="114" t="s">
        <v>896</v>
      </c>
      <c r="G92" s="73" t="s">
        <v>897</v>
      </c>
      <c r="H92" s="276" t="s">
        <v>843</v>
      </c>
      <c r="I92" s="240" t="s">
        <v>60</v>
      </c>
    </row>
    <row r="93" spans="1:9" ht="17.100000000000001" thickBot="1">
      <c r="A93" s="1"/>
      <c r="B93" s="110"/>
      <c r="C93" s="105"/>
      <c r="D93" s="104" t="s">
        <v>5</v>
      </c>
      <c r="E93" s="105" t="s">
        <v>898</v>
      </c>
      <c r="F93" s="114" t="s">
        <v>898</v>
      </c>
      <c r="G93" s="72" t="s">
        <v>899</v>
      </c>
      <c r="H93" s="276" t="s">
        <v>843</v>
      </c>
      <c r="I93" s="240" t="s">
        <v>60</v>
      </c>
    </row>
    <row r="94" spans="1:9" ht="17.100000000000001" thickBot="1">
      <c r="A94" s="1"/>
      <c r="B94" s="110"/>
      <c r="C94" s="105"/>
      <c r="D94" s="104" t="s">
        <v>5</v>
      </c>
      <c r="E94" s="105" t="s">
        <v>900</v>
      </c>
      <c r="F94" s="114" t="s">
        <v>900</v>
      </c>
      <c r="G94" s="72" t="s">
        <v>901</v>
      </c>
      <c r="H94" s="276" t="s">
        <v>843</v>
      </c>
      <c r="I94" s="240" t="s">
        <v>60</v>
      </c>
    </row>
    <row r="95" spans="1:9" ht="17.100000000000001" thickBot="1">
      <c r="A95" s="1"/>
      <c r="B95" s="103"/>
      <c r="C95" s="105"/>
      <c r="D95" s="104" t="s">
        <v>5</v>
      </c>
      <c r="E95" s="105" t="s">
        <v>902</v>
      </c>
      <c r="F95" s="114" t="s">
        <v>902</v>
      </c>
      <c r="G95" s="72" t="s">
        <v>903</v>
      </c>
      <c r="H95" s="276" t="s">
        <v>843</v>
      </c>
      <c r="I95" s="240" t="s">
        <v>60</v>
      </c>
    </row>
    <row r="96" spans="1:9" ht="17.100000000000001" thickBot="1">
      <c r="A96" s="1"/>
      <c r="B96" s="103"/>
      <c r="C96" s="105"/>
      <c r="D96" s="104" t="s">
        <v>5</v>
      </c>
      <c r="E96" s="105" t="s">
        <v>904</v>
      </c>
      <c r="F96" s="114" t="s">
        <v>904</v>
      </c>
      <c r="G96" s="72" t="s">
        <v>905</v>
      </c>
      <c r="H96" s="276" t="s">
        <v>843</v>
      </c>
      <c r="I96" s="240" t="s">
        <v>60</v>
      </c>
    </row>
    <row r="97" spans="1:9" ht="17.100000000000001" thickBot="1">
      <c r="A97" s="1"/>
      <c r="B97" s="103"/>
      <c r="C97" s="104" t="s">
        <v>5</v>
      </c>
      <c r="D97" s="105" t="s">
        <v>906</v>
      </c>
      <c r="E97" s="105"/>
      <c r="F97" s="114" t="s">
        <v>906</v>
      </c>
      <c r="G97" s="73" t="s">
        <v>907</v>
      </c>
      <c r="H97" s="577" t="s">
        <v>57</v>
      </c>
      <c r="I97" s="240" t="s">
        <v>60</v>
      </c>
    </row>
    <row r="98" spans="1:9" ht="17.100000000000001" thickBot="1">
      <c r="A98" s="1"/>
      <c r="B98" s="103"/>
      <c r="C98" s="104"/>
      <c r="D98" s="104" t="s">
        <v>5</v>
      </c>
      <c r="E98" s="105" t="s">
        <v>908</v>
      </c>
      <c r="F98" s="114" t="s">
        <v>908</v>
      </c>
      <c r="G98" s="72" t="s">
        <v>909</v>
      </c>
      <c r="H98" s="276" t="s">
        <v>843</v>
      </c>
      <c r="I98" s="240" t="s">
        <v>60</v>
      </c>
    </row>
    <row r="99" spans="1:9" ht="17.100000000000001" thickBot="1">
      <c r="A99" s="1"/>
      <c r="B99" s="103"/>
      <c r="C99" s="104" t="s">
        <v>5</v>
      </c>
      <c r="D99" s="105" t="s">
        <v>910</v>
      </c>
      <c r="E99" s="105"/>
      <c r="F99" s="114" t="s">
        <v>910</v>
      </c>
      <c r="G99" s="72" t="s">
        <v>911</v>
      </c>
      <c r="H99" s="276" t="s">
        <v>843</v>
      </c>
      <c r="I99" s="240" t="s">
        <v>64</v>
      </c>
    </row>
    <row r="100" spans="1:9" ht="17.100000000000001" thickBot="1">
      <c r="A100" s="1"/>
      <c r="B100" s="106"/>
      <c r="C100" s="107" t="s">
        <v>5</v>
      </c>
      <c r="D100" s="108" t="s">
        <v>912</v>
      </c>
      <c r="E100" s="108"/>
      <c r="F100" s="115" t="s">
        <v>912</v>
      </c>
      <c r="G100" s="72" t="s">
        <v>913</v>
      </c>
      <c r="H100" s="277" t="s">
        <v>843</v>
      </c>
      <c r="I100" s="240" t="s">
        <v>64</v>
      </c>
    </row>
    <row r="101" spans="1:9" ht="17.100000000000001" thickBot="1">
      <c r="A101" s="1"/>
      <c r="B101" s="86" t="s">
        <v>5</v>
      </c>
      <c r="C101" s="112" t="s">
        <v>914</v>
      </c>
      <c r="D101" s="83"/>
      <c r="E101" s="83"/>
      <c r="F101" s="609" t="s">
        <v>914</v>
      </c>
      <c r="G101" s="118" t="s">
        <v>915</v>
      </c>
      <c r="H101" s="578" t="s">
        <v>57</v>
      </c>
      <c r="I101" s="238" t="s">
        <v>60</v>
      </c>
    </row>
    <row r="102" spans="1:9" ht="17.100000000000001" thickBot="1">
      <c r="A102" s="1"/>
      <c r="B102" s="100"/>
      <c r="C102" s="101" t="s">
        <v>5</v>
      </c>
      <c r="D102" s="102" t="s">
        <v>916</v>
      </c>
      <c r="E102" s="102"/>
      <c r="F102" s="113" t="s">
        <v>916</v>
      </c>
      <c r="G102" s="73" t="s">
        <v>917</v>
      </c>
      <c r="H102" s="278" t="s">
        <v>918</v>
      </c>
      <c r="I102" s="240" t="s">
        <v>60</v>
      </c>
    </row>
    <row r="103" spans="1:9" ht="17.100000000000001" thickBot="1">
      <c r="A103" s="1"/>
      <c r="B103" s="103"/>
      <c r="C103" s="104" t="s">
        <v>5</v>
      </c>
      <c r="D103" s="105" t="s">
        <v>919</v>
      </c>
      <c r="E103" s="105"/>
      <c r="F103" s="114" t="s">
        <v>919</v>
      </c>
      <c r="G103" s="73" t="s">
        <v>920</v>
      </c>
      <c r="H103" s="279" t="s">
        <v>918</v>
      </c>
      <c r="I103" s="240" t="s">
        <v>60</v>
      </c>
    </row>
    <row r="104" spans="1:9" ht="17.100000000000001" thickBot="1">
      <c r="A104" s="1"/>
      <c r="B104" s="103"/>
      <c r="C104" s="104" t="s">
        <v>5</v>
      </c>
      <c r="D104" s="105" t="s">
        <v>921</v>
      </c>
      <c r="E104" s="105"/>
      <c r="F104" s="114" t="s">
        <v>921</v>
      </c>
      <c r="G104" s="73" t="s">
        <v>922</v>
      </c>
      <c r="H104" s="279" t="s">
        <v>918</v>
      </c>
      <c r="I104" s="240" t="s">
        <v>60</v>
      </c>
    </row>
    <row r="105" spans="1:9" ht="17.100000000000001" thickBot="1">
      <c r="A105" s="1"/>
      <c r="B105" s="103"/>
      <c r="C105" s="104" t="s">
        <v>5</v>
      </c>
      <c r="D105" s="105" t="s">
        <v>923</v>
      </c>
      <c r="E105" s="105"/>
      <c r="F105" s="114" t="s">
        <v>923</v>
      </c>
      <c r="G105" s="73" t="s">
        <v>924</v>
      </c>
      <c r="H105" s="279" t="s">
        <v>918</v>
      </c>
      <c r="I105" s="240" t="s">
        <v>60</v>
      </c>
    </row>
    <row r="106" spans="1:9" ht="17.100000000000001" thickBot="1">
      <c r="A106" s="1"/>
      <c r="B106" s="103"/>
      <c r="C106" s="104" t="s">
        <v>5</v>
      </c>
      <c r="D106" s="105" t="s">
        <v>925</v>
      </c>
      <c r="E106" s="105"/>
      <c r="F106" s="114" t="s">
        <v>925</v>
      </c>
      <c r="G106" s="73" t="s">
        <v>926</v>
      </c>
      <c r="H106" s="279" t="s">
        <v>918</v>
      </c>
      <c r="I106" s="240" t="s">
        <v>64</v>
      </c>
    </row>
    <row r="107" spans="1:9" ht="17.100000000000001" thickBot="1">
      <c r="A107" s="1"/>
      <c r="B107" s="88" t="s">
        <v>5</v>
      </c>
      <c r="C107" s="89" t="s">
        <v>927</v>
      </c>
      <c r="D107" s="90"/>
      <c r="E107" s="90"/>
      <c r="F107" s="95" t="s">
        <v>927</v>
      </c>
      <c r="G107" s="91" t="s">
        <v>928</v>
      </c>
      <c r="H107" s="280" t="s">
        <v>918</v>
      </c>
      <c r="I107" s="282" t="s">
        <v>60</v>
      </c>
    </row>
    <row r="108" spans="1:9" ht="17.100000000000001" thickBot="1">
      <c r="A108" s="1"/>
      <c r="B108" s="88" t="s">
        <v>5</v>
      </c>
      <c r="C108" s="89" t="s">
        <v>929</v>
      </c>
      <c r="D108" s="90"/>
      <c r="E108" s="90"/>
      <c r="F108" s="25" t="s">
        <v>929</v>
      </c>
      <c r="G108" s="87" t="s">
        <v>930</v>
      </c>
      <c r="H108" s="280" t="s">
        <v>918</v>
      </c>
      <c r="I108" s="282" t="s">
        <v>60</v>
      </c>
    </row>
    <row r="109" spans="1:9" ht="17.100000000000001" thickBot="1">
      <c r="A109" s="611" t="s">
        <v>5</v>
      </c>
      <c r="B109" s="610" t="s">
        <v>931</v>
      </c>
      <c r="C109" s="130"/>
      <c r="D109" s="131"/>
      <c r="E109" s="132"/>
      <c r="F109" s="141" t="s">
        <v>931</v>
      </c>
      <c r="G109" s="93" t="s">
        <v>932</v>
      </c>
      <c r="H109" s="12" t="s">
        <v>918</v>
      </c>
      <c r="I109" s="241" t="s">
        <v>64</v>
      </c>
    </row>
    <row r="110" spans="1:9" ht="17.100000000000001" thickBot="1">
      <c r="A110" s="2"/>
      <c r="B110" s="121" t="s">
        <v>5</v>
      </c>
      <c r="C110" s="122" t="s">
        <v>933</v>
      </c>
      <c r="D110" s="123"/>
      <c r="E110" s="138"/>
      <c r="F110" s="135" t="s">
        <v>933</v>
      </c>
      <c r="G110" s="13" t="s">
        <v>934</v>
      </c>
      <c r="H110" s="281" t="s">
        <v>918</v>
      </c>
      <c r="I110" s="242" t="s">
        <v>64</v>
      </c>
    </row>
    <row r="111" spans="1:9" ht="17.100000000000001" thickBot="1">
      <c r="A111" s="2"/>
      <c r="B111" s="124" t="s">
        <v>5</v>
      </c>
      <c r="C111" s="125" t="s">
        <v>935</v>
      </c>
      <c r="D111" s="126"/>
      <c r="E111" s="54"/>
      <c r="F111" s="136" t="s">
        <v>935</v>
      </c>
      <c r="G111" s="13" t="s">
        <v>936</v>
      </c>
      <c r="H111" s="281" t="s">
        <v>918</v>
      </c>
      <c r="I111" s="242" t="s">
        <v>60</v>
      </c>
    </row>
    <row r="112" spans="1:9" ht="17.100000000000001" thickBot="1">
      <c r="A112" s="1"/>
      <c r="B112" s="124" t="s">
        <v>5</v>
      </c>
      <c r="C112" s="125" t="s">
        <v>937</v>
      </c>
      <c r="D112" s="126"/>
      <c r="E112" s="54"/>
      <c r="F112" s="136" t="s">
        <v>937</v>
      </c>
      <c r="G112" s="13" t="s">
        <v>938</v>
      </c>
      <c r="H112" s="281" t="s">
        <v>918</v>
      </c>
      <c r="I112" s="242" t="s">
        <v>64</v>
      </c>
    </row>
    <row r="113" spans="1:9" ht="17.100000000000001" thickBot="1">
      <c r="A113" s="1"/>
      <c r="B113" s="124" t="s">
        <v>5</v>
      </c>
      <c r="C113" s="125" t="s">
        <v>939</v>
      </c>
      <c r="D113" s="126"/>
      <c r="E113" s="54"/>
      <c r="F113" s="136" t="s">
        <v>939</v>
      </c>
      <c r="G113" s="13" t="s">
        <v>940</v>
      </c>
      <c r="H113" s="281" t="s">
        <v>918</v>
      </c>
      <c r="I113" s="242" t="s">
        <v>64</v>
      </c>
    </row>
    <row r="114" spans="1:9" ht="17.100000000000001" thickBot="1">
      <c r="A114" s="1"/>
      <c r="B114" s="124" t="s">
        <v>5</v>
      </c>
      <c r="C114" s="125" t="s">
        <v>941</v>
      </c>
      <c r="D114" s="126"/>
      <c r="E114" s="54"/>
      <c r="F114" s="136" t="s">
        <v>941</v>
      </c>
      <c r="G114" s="13" t="s">
        <v>942</v>
      </c>
      <c r="H114" s="281" t="s">
        <v>918</v>
      </c>
      <c r="I114" s="242" t="s">
        <v>60</v>
      </c>
    </row>
    <row r="115" spans="1:9" ht="17.100000000000001">
      <c r="A115" s="1"/>
      <c r="B115" s="124" t="s">
        <v>5</v>
      </c>
      <c r="C115" s="125" t="s">
        <v>943</v>
      </c>
      <c r="D115" s="126"/>
      <c r="E115" s="54"/>
      <c r="F115" s="136" t="s">
        <v>943</v>
      </c>
      <c r="G115" s="13" t="s">
        <v>944</v>
      </c>
      <c r="H115" s="281" t="s">
        <v>918</v>
      </c>
      <c r="I115" s="242" t="s">
        <v>60</v>
      </c>
    </row>
    <row r="116" spans="1:9" ht="17.100000000000001" thickBot="1">
      <c r="A116" s="1"/>
      <c r="B116" s="124" t="s">
        <v>5</v>
      </c>
      <c r="C116" s="125" t="s">
        <v>945</v>
      </c>
      <c r="D116" s="126"/>
      <c r="E116" s="54"/>
      <c r="F116" s="136" t="s">
        <v>945</v>
      </c>
      <c r="G116" s="13" t="s">
        <v>946</v>
      </c>
      <c r="H116" s="281" t="s">
        <v>918</v>
      </c>
      <c r="I116" s="242" t="s">
        <v>727</v>
      </c>
    </row>
    <row r="117" spans="1:9" ht="17.100000000000001" thickBot="1">
      <c r="A117" s="1"/>
      <c r="B117" s="124" t="s">
        <v>5</v>
      </c>
      <c r="C117" s="125" t="s">
        <v>947</v>
      </c>
      <c r="D117" s="126"/>
      <c r="E117" s="54"/>
      <c r="F117" s="136" t="s">
        <v>947</v>
      </c>
      <c r="G117" s="13" t="s">
        <v>948</v>
      </c>
      <c r="H117" s="281" t="s">
        <v>918</v>
      </c>
      <c r="I117" s="242" t="s">
        <v>64</v>
      </c>
    </row>
    <row r="118" spans="1:9" ht="17.100000000000001" thickBot="1">
      <c r="A118" s="1"/>
      <c r="B118" s="124" t="s">
        <v>5</v>
      </c>
      <c r="C118" s="125" t="s">
        <v>949</v>
      </c>
      <c r="D118" s="126"/>
      <c r="E118" s="54"/>
      <c r="F118" s="136" t="s">
        <v>949</v>
      </c>
      <c r="G118" s="13" t="s">
        <v>950</v>
      </c>
      <c r="H118" s="281" t="s">
        <v>918</v>
      </c>
      <c r="I118" s="242" t="s">
        <v>60</v>
      </c>
    </row>
    <row r="119" spans="1:9" ht="17.100000000000001" thickBot="1">
      <c r="A119" s="1"/>
      <c r="B119" s="124" t="s">
        <v>5</v>
      </c>
      <c r="C119" s="125" t="s">
        <v>951</v>
      </c>
      <c r="D119" s="126"/>
      <c r="E119" s="54"/>
      <c r="F119" s="136" t="s">
        <v>951</v>
      </c>
      <c r="G119" s="13" t="s">
        <v>952</v>
      </c>
      <c r="H119" s="281" t="s">
        <v>918</v>
      </c>
      <c r="I119" s="242" t="s">
        <v>727</v>
      </c>
    </row>
    <row r="120" spans="1:9" ht="17.100000000000001" thickBot="1">
      <c r="A120" s="1"/>
      <c r="B120" s="124" t="s">
        <v>5</v>
      </c>
      <c r="C120" s="125" t="s">
        <v>953</v>
      </c>
      <c r="D120" s="126"/>
      <c r="E120" s="54"/>
      <c r="F120" s="136" t="str">
        <f>C120</f>
        <v>Juvenile Xanthogranuloma</v>
      </c>
      <c r="G120" s="13" t="s">
        <v>954</v>
      </c>
      <c r="H120" s="281" t="s">
        <v>918</v>
      </c>
      <c r="I120" s="242" t="s">
        <v>60</v>
      </c>
    </row>
    <row r="121" spans="1:9" ht="17.100000000000001" thickBot="1">
      <c r="A121" s="1"/>
      <c r="B121" s="124" t="s">
        <v>5</v>
      </c>
      <c r="C121" s="125" t="s">
        <v>955</v>
      </c>
      <c r="D121" s="126"/>
      <c r="E121" s="54"/>
      <c r="F121" s="136" t="str">
        <f>C121</f>
        <v>Histiocytic Neoplasm, NOS</v>
      </c>
      <c r="G121" s="13" t="s">
        <v>956</v>
      </c>
      <c r="H121" s="281" t="s">
        <v>918</v>
      </c>
      <c r="I121" s="242" t="s">
        <v>64</v>
      </c>
    </row>
    <row r="122" spans="1:9" ht="17.100000000000001" thickBot="1">
      <c r="A122" s="1"/>
      <c r="B122" s="124" t="s">
        <v>5</v>
      </c>
      <c r="C122" s="125" t="s">
        <v>957</v>
      </c>
      <c r="D122" s="126"/>
      <c r="E122" s="54"/>
      <c r="F122" s="136" t="s">
        <v>957</v>
      </c>
      <c r="G122" s="13" t="s">
        <v>958</v>
      </c>
      <c r="H122" s="281" t="s">
        <v>918</v>
      </c>
      <c r="I122" s="242" t="s">
        <v>60</v>
      </c>
    </row>
    <row r="123" spans="1:9" ht="17.100000000000001" thickBot="1">
      <c r="A123" s="1"/>
      <c r="B123" s="124" t="s">
        <v>5</v>
      </c>
      <c r="C123" s="125" t="s">
        <v>959</v>
      </c>
      <c r="D123" s="126"/>
      <c r="E123" s="139"/>
      <c r="F123" s="136" t="s">
        <v>959</v>
      </c>
      <c r="G123" s="5" t="s">
        <v>960</v>
      </c>
      <c r="H123" s="281" t="s">
        <v>918</v>
      </c>
      <c r="I123" s="242" t="s">
        <v>727</v>
      </c>
    </row>
    <row r="124" spans="1:9" ht="17.100000000000001" thickBot="1">
      <c r="A124" s="1"/>
      <c r="B124" s="127" t="s">
        <v>5</v>
      </c>
      <c r="C124" s="128" t="s">
        <v>961</v>
      </c>
      <c r="D124" s="129"/>
      <c r="E124" s="140"/>
      <c r="F124" s="137" t="s">
        <v>961</v>
      </c>
      <c r="G124" s="5" t="s">
        <v>962</v>
      </c>
      <c r="H124" s="281" t="s">
        <v>918</v>
      </c>
      <c r="I124" s="306" t="s">
        <v>64</v>
      </c>
    </row>
    <row r="125" spans="1:9" ht="17.100000000000001" thickBot="1">
      <c r="A125" s="612" t="s">
        <v>5</v>
      </c>
      <c r="B125" s="142" t="s">
        <v>963</v>
      </c>
      <c r="C125" s="133"/>
      <c r="D125" s="134"/>
      <c r="E125" s="607"/>
      <c r="F125" s="608" t="s">
        <v>963</v>
      </c>
      <c r="G125" s="307" t="s">
        <v>964</v>
      </c>
      <c r="H125" s="308" t="s">
        <v>918</v>
      </c>
      <c r="I125" s="305" t="s">
        <v>64</v>
      </c>
    </row>
    <row r="126" spans="1:9">
      <c r="A126" s="2"/>
      <c r="B126" s="1"/>
      <c r="C126" s="1"/>
      <c r="D126" s="1"/>
      <c r="E126" s="1"/>
      <c r="G126" s="1"/>
      <c r="I126" s="284"/>
    </row>
    <row r="127" spans="1:9">
      <c r="A127" s="8"/>
      <c r="B127" s="1"/>
      <c r="C127" s="1"/>
      <c r="D127" s="1"/>
      <c r="E127" s="1"/>
      <c r="G127" s="1"/>
      <c r="I127" s="284"/>
    </row>
    <row r="128" spans="1:9">
      <c r="A128" s="8"/>
      <c r="B128" s="1"/>
      <c r="C128" s="1"/>
      <c r="D128" s="1"/>
      <c r="E128" s="1"/>
      <c r="G128" s="1"/>
      <c r="I128" s="284"/>
    </row>
    <row r="129" spans="1:9">
      <c r="A129" s="8"/>
      <c r="B129" s="1"/>
      <c r="C129" s="1"/>
      <c r="D129" s="1"/>
      <c r="E129" s="1"/>
      <c r="G129" s="1"/>
      <c r="I129" s="284"/>
    </row>
    <row r="130" spans="1:9">
      <c r="A130" s="8"/>
      <c r="B130" s="1"/>
      <c r="C130" s="1"/>
      <c r="D130" s="1"/>
      <c r="E130" s="1"/>
      <c r="G130" s="1"/>
      <c r="I130" s="284"/>
    </row>
    <row r="131" spans="1:9">
      <c r="A131" s="8"/>
      <c r="B131" s="1"/>
      <c r="C131" s="1"/>
      <c r="D131" s="1"/>
      <c r="E131" s="1"/>
      <c r="G131" s="1"/>
      <c r="I131" s="284"/>
    </row>
    <row r="132" spans="1:9">
      <c r="A132" s="8"/>
      <c r="B132" s="1"/>
      <c r="C132" s="1"/>
      <c r="D132" s="1"/>
      <c r="E132" s="1"/>
      <c r="G132" s="1"/>
      <c r="I132" s="284"/>
    </row>
    <row r="133" spans="1:9">
      <c r="A133" s="8"/>
      <c r="B133" s="1"/>
      <c r="C133" s="1"/>
      <c r="D133" s="1"/>
      <c r="E133" s="1"/>
      <c r="G133" s="1"/>
      <c r="I133" s="284"/>
    </row>
    <row r="134" spans="1:9">
      <c r="A134" s="8"/>
      <c r="B134" s="1"/>
      <c r="C134" s="1"/>
      <c r="D134" s="1"/>
      <c r="E134" s="1"/>
      <c r="G134" s="1"/>
      <c r="I134" s="284"/>
    </row>
    <row r="135" spans="1:9">
      <c r="A135" s="8"/>
      <c r="B135" s="1"/>
      <c r="C135" s="1"/>
      <c r="D135" s="1"/>
      <c r="E135" s="1"/>
      <c r="G135" s="1"/>
      <c r="I135" s="284"/>
    </row>
    <row r="136" spans="1:9">
      <c r="A136" s="8"/>
      <c r="B136" s="1"/>
      <c r="C136" s="1"/>
      <c r="D136" s="1"/>
      <c r="E136" s="1"/>
      <c r="G136" s="1"/>
      <c r="I136" s="284"/>
    </row>
    <row r="137" spans="1:9">
      <c r="A137" s="8"/>
      <c r="B137" s="1"/>
      <c r="C137" s="1"/>
      <c r="D137" s="1"/>
      <c r="E137" s="1"/>
      <c r="G137" s="1"/>
      <c r="I137" s="284"/>
    </row>
    <row r="138" spans="1:9">
      <c r="A138" s="8"/>
      <c r="B138" s="1"/>
      <c r="C138" s="1"/>
      <c r="D138" s="1"/>
      <c r="E138" s="1"/>
      <c r="G138" s="1"/>
      <c r="I138" s="284"/>
    </row>
    <row r="139" spans="1:9">
      <c r="A139" s="8"/>
      <c r="B139" s="1"/>
      <c r="C139" s="1"/>
      <c r="D139" s="1"/>
      <c r="E139" s="1"/>
      <c r="G139" s="1"/>
      <c r="I139" s="284"/>
    </row>
    <row r="140" spans="1:9">
      <c r="A140" s="8"/>
      <c r="B140" s="1"/>
      <c r="C140" s="1"/>
      <c r="D140" s="1"/>
      <c r="E140" s="1"/>
      <c r="G140" s="1"/>
      <c r="I140" s="284"/>
    </row>
    <row r="141" spans="1:9">
      <c r="A141" s="8"/>
      <c r="B141" s="1"/>
      <c r="C141" s="1"/>
      <c r="D141" s="1"/>
      <c r="E141" s="1"/>
      <c r="G141" s="1"/>
      <c r="I141" s="284"/>
    </row>
    <row r="142" spans="1:9">
      <c r="A142" s="8"/>
      <c r="B142" s="1"/>
      <c r="C142" s="1"/>
      <c r="D142" s="1"/>
      <c r="E142" s="1"/>
      <c r="G142" s="1"/>
      <c r="I142" s="284"/>
    </row>
    <row r="143" spans="1:9">
      <c r="A143" s="8"/>
      <c r="B143" s="1"/>
      <c r="C143" s="1"/>
      <c r="D143" s="1"/>
      <c r="E143" s="1"/>
      <c r="G143" s="1"/>
      <c r="I143" s="284"/>
    </row>
    <row r="144" spans="1:9">
      <c r="A144" s="8"/>
      <c r="B144" s="1"/>
      <c r="C144" s="1"/>
      <c r="D144" s="1"/>
      <c r="E144" s="1"/>
      <c r="G144" s="1"/>
      <c r="I144" s="284"/>
    </row>
    <row r="145" spans="1:9">
      <c r="A145" s="8"/>
      <c r="B145" s="1"/>
      <c r="C145" s="1"/>
      <c r="D145" s="1"/>
      <c r="E145" s="1"/>
      <c r="G145" s="1"/>
      <c r="I145" s="284"/>
    </row>
    <row r="146" spans="1:9">
      <c r="A146" s="8"/>
      <c r="B146" s="1"/>
      <c r="C146" s="1"/>
      <c r="D146" s="1"/>
      <c r="E146" s="1"/>
      <c r="G146" s="1"/>
      <c r="I146" s="284"/>
    </row>
    <row r="147" spans="1:9">
      <c r="A147" s="8"/>
      <c r="B147" s="1"/>
      <c r="C147" s="1"/>
      <c r="D147" s="1"/>
      <c r="E147" s="1"/>
      <c r="G147" s="1"/>
      <c r="I147" s="284"/>
    </row>
    <row r="148" spans="1:9">
      <c r="A148" s="8"/>
      <c r="B148" s="1"/>
      <c r="C148" s="1"/>
      <c r="D148" s="1"/>
      <c r="E148" s="1"/>
      <c r="G148" s="1"/>
      <c r="I148" s="284"/>
    </row>
    <row r="149" spans="1:9">
      <c r="A149" s="8"/>
      <c r="B149" s="1"/>
      <c r="C149" s="1"/>
      <c r="D149" s="1"/>
      <c r="E149" s="1"/>
      <c r="G149" s="1"/>
      <c r="I149" s="284"/>
    </row>
    <row r="150" spans="1:9">
      <c r="A150" s="8"/>
      <c r="B150" s="1"/>
      <c r="C150" s="1"/>
      <c r="D150" s="1"/>
      <c r="E150" s="1"/>
      <c r="G150" s="1"/>
      <c r="I150" s="284"/>
    </row>
    <row r="151" spans="1:9">
      <c r="A151" s="8"/>
      <c r="B151" s="1"/>
      <c r="C151" s="1"/>
      <c r="D151" s="1"/>
      <c r="E151" s="1"/>
      <c r="G151" s="1"/>
      <c r="I151" s="284"/>
    </row>
    <row r="152" spans="1:9">
      <c r="A152" s="8"/>
      <c r="B152" s="1"/>
      <c r="C152" s="1"/>
      <c r="D152" s="1"/>
      <c r="E152" s="1"/>
      <c r="G152" s="1"/>
      <c r="I152" s="284"/>
    </row>
    <row r="153" spans="1:9">
      <c r="A153" s="8"/>
      <c r="B153" s="1"/>
      <c r="C153" s="1"/>
      <c r="D153" s="1"/>
      <c r="E153" s="1"/>
      <c r="G153" s="1"/>
      <c r="I153" s="284"/>
    </row>
    <row r="154" spans="1:9">
      <c r="A154" s="8"/>
      <c r="B154" s="1"/>
      <c r="C154" s="1"/>
      <c r="D154" s="1"/>
      <c r="E154" s="1"/>
      <c r="G154" s="1"/>
      <c r="I154" s="284"/>
    </row>
    <row r="155" spans="1:9">
      <c r="A155" s="8"/>
      <c r="B155" s="1"/>
      <c r="C155" s="1"/>
      <c r="D155" s="1"/>
      <c r="E155" s="1"/>
      <c r="G155" s="1"/>
      <c r="I155" s="284"/>
    </row>
    <row r="156" spans="1:9">
      <c r="A156" s="8"/>
      <c r="B156" s="1"/>
      <c r="C156" s="1"/>
      <c r="D156" s="1"/>
      <c r="E156" s="1"/>
      <c r="G156" s="1"/>
      <c r="I156" s="284"/>
    </row>
    <row r="157" spans="1:9">
      <c r="A157" s="8"/>
      <c r="B157" s="1"/>
      <c r="C157" s="1"/>
      <c r="D157" s="1"/>
      <c r="E157" s="1"/>
      <c r="G157" s="1"/>
      <c r="I157" s="284"/>
    </row>
    <row r="158" spans="1:9">
      <c r="A158" s="8"/>
      <c r="B158" s="1"/>
      <c r="C158" s="1"/>
      <c r="D158" s="1"/>
      <c r="E158" s="1"/>
      <c r="G158" s="1"/>
      <c r="I158" s="284"/>
    </row>
    <row r="159" spans="1:9">
      <c r="A159" s="8"/>
      <c r="B159" s="1"/>
      <c r="C159" s="1"/>
      <c r="D159" s="1"/>
      <c r="E159" s="1"/>
      <c r="G159" s="1"/>
      <c r="I159" s="284"/>
    </row>
    <row r="160" spans="1:9">
      <c r="A160" s="8"/>
      <c r="B160" s="1"/>
      <c r="C160" s="1"/>
      <c r="D160" s="1"/>
      <c r="E160" s="1"/>
      <c r="G160" s="1"/>
      <c r="I160" s="284"/>
    </row>
    <row r="161" spans="1:9">
      <c r="A161" s="1"/>
      <c r="B161" s="1"/>
      <c r="C161" s="1"/>
      <c r="D161" s="1"/>
      <c r="E161" s="1"/>
      <c r="G161" s="1"/>
      <c r="I161" s="284"/>
    </row>
    <row r="162" spans="1:9">
      <c r="A162" s="9"/>
      <c r="B162" s="1"/>
      <c r="C162" s="1"/>
      <c r="D162" s="1"/>
      <c r="E162" s="1"/>
      <c r="G162" s="1"/>
      <c r="I162" s="284"/>
    </row>
    <row r="163" spans="1:9">
      <c r="A163" s="8"/>
      <c r="B163" s="1"/>
      <c r="C163" s="1"/>
      <c r="D163" s="1"/>
      <c r="E163" s="1"/>
      <c r="G163" s="1"/>
      <c r="I163" s="284"/>
    </row>
    <row r="164" spans="1:9">
      <c r="A164" s="8"/>
      <c r="B164" s="1"/>
      <c r="C164" s="1"/>
      <c r="D164" s="1"/>
      <c r="E164" s="1"/>
      <c r="G164" s="1"/>
      <c r="I164" s="284"/>
    </row>
    <row r="165" spans="1:9">
      <c r="A165" s="8"/>
      <c r="B165" s="1"/>
      <c r="C165" s="1"/>
      <c r="D165" s="1"/>
      <c r="E165" s="1"/>
      <c r="G165" s="1"/>
      <c r="I165" s="284"/>
    </row>
    <row r="166" spans="1:9">
      <c r="A166" s="8"/>
      <c r="B166" s="1"/>
      <c r="C166" s="1"/>
      <c r="D166" s="1"/>
      <c r="E166" s="1"/>
      <c r="G166" s="1"/>
      <c r="I166" s="284"/>
    </row>
    <row r="167" spans="1:9">
      <c r="A167" s="8"/>
      <c r="B167" s="1"/>
      <c r="C167" s="1"/>
      <c r="D167" s="1"/>
      <c r="E167" s="1"/>
      <c r="G167" s="1"/>
      <c r="I167" s="284"/>
    </row>
    <row r="168" spans="1:9">
      <c r="A168" s="8"/>
      <c r="B168" s="1"/>
      <c r="C168" s="1"/>
      <c r="D168" s="1"/>
      <c r="E168" s="1"/>
      <c r="G168" s="1"/>
      <c r="I168" s="284"/>
    </row>
    <row r="169" spans="1:9">
      <c r="A169" s="8"/>
      <c r="B169" s="1"/>
      <c r="C169" s="1"/>
      <c r="D169" s="1"/>
      <c r="E169" s="1"/>
      <c r="G169" s="1"/>
      <c r="I169" s="284"/>
    </row>
    <row r="170" spans="1:9">
      <c r="A170" s="8"/>
      <c r="B170" s="1"/>
      <c r="C170" s="1"/>
      <c r="D170" s="1"/>
      <c r="E170" s="1"/>
      <c r="G170" s="1"/>
      <c r="I170" s="284"/>
    </row>
    <row r="171" spans="1:9">
      <c r="A171" s="8"/>
      <c r="B171" s="1"/>
      <c r="C171" s="1"/>
      <c r="D171" s="1"/>
      <c r="E171" s="1"/>
      <c r="G171" s="1"/>
      <c r="I171" s="284"/>
    </row>
    <row r="172" spans="1:9">
      <c r="A172" s="1"/>
      <c r="B172" s="1"/>
      <c r="C172" s="1"/>
      <c r="D172" s="1"/>
      <c r="E172" s="1"/>
      <c r="G172" s="1"/>
      <c r="I172" s="284"/>
    </row>
    <row r="173" spans="1:9">
      <c r="A173" s="1"/>
      <c r="B173" s="1"/>
      <c r="C173" s="1"/>
      <c r="D173" s="1"/>
      <c r="E173" s="1"/>
      <c r="G173" s="1"/>
      <c r="I173" s="284"/>
    </row>
    <row r="174" spans="1:9">
      <c r="A174" s="1"/>
      <c r="B174" s="1"/>
      <c r="C174" s="1"/>
      <c r="D174" s="1"/>
      <c r="E174" s="1"/>
      <c r="G174" s="1"/>
      <c r="I174" s="284"/>
    </row>
    <row r="175" spans="1:9">
      <c r="A175" s="1"/>
      <c r="B175" s="1"/>
      <c r="C175" s="1"/>
      <c r="D175" s="1"/>
      <c r="E175" s="1"/>
      <c r="G175" s="1"/>
      <c r="I175" s="284"/>
    </row>
    <row r="176" spans="1:9">
      <c r="A176" s="1"/>
      <c r="B176" s="1"/>
      <c r="C176" s="1"/>
      <c r="D176" s="1"/>
      <c r="E176" s="1"/>
      <c r="G176" s="1"/>
      <c r="I176" s="284"/>
    </row>
    <row r="177" spans="1:9">
      <c r="A177" s="1"/>
      <c r="B177" s="1"/>
      <c r="C177" s="1"/>
      <c r="D177" s="1"/>
      <c r="E177" s="1"/>
      <c r="G177" s="1"/>
      <c r="I177" s="284"/>
    </row>
    <row r="178" spans="1:9">
      <c r="A178" s="1"/>
      <c r="I178" s="284"/>
    </row>
    <row r="179" spans="1:9">
      <c r="I179" s="284"/>
    </row>
    <row r="180" spans="1:9">
      <c r="I180" s="284"/>
    </row>
    <row r="181" spans="1:9">
      <c r="I181" s="284"/>
    </row>
    <row r="182" spans="1:9">
      <c r="I182" s="284"/>
    </row>
    <row r="183" spans="1:9">
      <c r="I183" s="284"/>
    </row>
    <row r="184" spans="1:9">
      <c r="I184" s="284"/>
    </row>
    <row r="185" spans="1:9">
      <c r="I185" s="284"/>
    </row>
    <row r="186" spans="1:9">
      <c r="I186" s="284"/>
    </row>
    <row r="187" spans="1:9">
      <c r="I187" s="284"/>
    </row>
    <row r="188" spans="1:9">
      <c r="I188" s="284"/>
    </row>
    <row r="189" spans="1:9">
      <c r="I189" s="284"/>
    </row>
    <row r="190" spans="1:9">
      <c r="I190" s="284"/>
    </row>
    <row r="191" spans="1:9">
      <c r="I191" s="284"/>
    </row>
    <row r="192" spans="1:9">
      <c r="I192" s="284"/>
    </row>
    <row r="193" spans="9:9">
      <c r="I193" s="284"/>
    </row>
    <row r="194" spans="9:9">
      <c r="I194" s="284"/>
    </row>
    <row r="195" spans="9:9">
      <c r="I195" s="284"/>
    </row>
    <row r="196" spans="9:9">
      <c r="I196" s="284"/>
    </row>
    <row r="197" spans="9:9">
      <c r="I197" s="284"/>
    </row>
    <row r="198" spans="9:9">
      <c r="I198" s="285"/>
    </row>
  </sheetData>
  <autoFilter ref="A1:I125" xr:uid="{4ADEEE89-47FD-F942-8B21-69E701D08B53}">
    <filterColumn colId="0" showButton="0"/>
    <filterColumn colId="1" showButton="0"/>
    <filterColumn colId="2" showButton="0"/>
    <filterColumn colId="3" showButton="0"/>
  </autoFilter>
  <mergeCells count="1">
    <mergeCell ref="A1:E1"/>
  </mergeCells>
  <pageMargins left="0.7" right="0.7" top="0.75" bottom="0.75" header="0.3" footer="0.3"/>
  <pageSetup orientation="portrait" horizontalDpi="0" verticalDpi="0"/>
  <headerFooter>
    <oddFooter>&amp;L_x000D_&amp;1#&amp;"Aptos"&amp;10&amp;K000000 St. Jude - Confidential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465C67862AF44974A5795FB7A315A" ma:contentTypeVersion="22" ma:contentTypeDescription="Create a new document." ma:contentTypeScope="" ma:versionID="70adbe211c5bb26123d4e496c4d7eac1">
  <xsd:schema xmlns:xsd="http://www.w3.org/2001/XMLSchema" xmlns:xs="http://www.w3.org/2001/XMLSchema" xmlns:p="http://schemas.microsoft.com/office/2006/metadata/properties" xmlns:ns1="http://schemas.microsoft.com/sharepoint/v3" xmlns:ns2="ff0e03ee-7665-4114-9abd-caa5292aa2b1" xmlns:ns3="2936e93f-eedd-41e3-9791-66a5f5ce8353" targetNamespace="http://schemas.microsoft.com/office/2006/metadata/properties" ma:root="true" ma:fieldsID="d8d1dbf4bb6f8308f11eb730fe9a7732" ns1:_="" ns2:_="" ns3:_="">
    <xsd:import namespace="http://schemas.microsoft.com/sharepoint/v3"/>
    <xsd:import namespace="ff0e03ee-7665-4114-9abd-caa5292aa2b1"/>
    <xsd:import namespace="2936e93f-eedd-41e3-9791-66a5f5ce835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BillingMetadata" minOccurs="0"/>
                <xsd:element ref="ns2:Sourc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0e03ee-7665-4114-9abd-caa5292aa2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0a9b7e9-94f9-45b9-9e9a-81327fa181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  <xsd:element name="Sources" ma:index="28" nillable="true" ma:displayName="Sources" ma:format="Dropdown" ma:internalName="Sourc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36e93f-eedd-41e3-9791-66a5f5ce835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2e84a3ac-cebe-43ca-bd63-4a621559ccb1}" ma:internalName="TaxCatchAll" ma:showField="CatchAllData" ma:web="2936e93f-eedd-41e3-9791-66a5f5ce835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2936e93f-eedd-41e3-9791-66a5f5ce8353" xsi:nil="true"/>
    <_ip_UnifiedCompliancePolicyProperties xmlns="http://schemas.microsoft.com/sharepoint/v3" xsi:nil="true"/>
    <lcf76f155ced4ddcb4097134ff3c332f xmlns="ff0e03ee-7665-4114-9abd-caa5292aa2b1">
      <Terms xmlns="http://schemas.microsoft.com/office/infopath/2007/PartnerControls"/>
    </lcf76f155ced4ddcb4097134ff3c332f>
    <Sources xmlns="ff0e03ee-7665-4114-9abd-caa5292aa2b1" xsi:nil="true"/>
  </documentManagement>
</p:properties>
</file>

<file path=customXml/itemProps1.xml><?xml version="1.0" encoding="utf-8"?>
<ds:datastoreItem xmlns:ds="http://schemas.openxmlformats.org/officeDocument/2006/customXml" ds:itemID="{FC48B7E0-CB00-4879-AE6E-434AB5C59C9E}"/>
</file>

<file path=customXml/itemProps2.xml><?xml version="1.0" encoding="utf-8"?>
<ds:datastoreItem xmlns:ds="http://schemas.openxmlformats.org/officeDocument/2006/customXml" ds:itemID="{9A6A7D65-2E6B-4214-A9A5-86974DA224D3}"/>
</file>

<file path=customXml/itemProps3.xml><?xml version="1.0" encoding="utf-8"?>
<ds:datastoreItem xmlns:ds="http://schemas.openxmlformats.org/officeDocument/2006/customXml" ds:itemID="{1722472A-1E8F-4733-8990-41D115C3D7F9}"/>
</file>

<file path=docMetadata/LabelInfo.xml><?xml version="1.0" encoding="utf-8"?>
<clbl:labelList xmlns:clbl="http://schemas.microsoft.com/office/2020/mipLabelMetadata">
  <clbl:label id="{65ce1208-e929-4ec4-be64-9138d78922c0}" enabled="1" method="Standard" siteId="{22340fa8-9226-4871-b677-d3b3e377af72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Sandor, Stephanie</dc:creator>
  <cp:keywords/>
  <dc:description/>
  <cp:lastModifiedBy/>
  <cp:revision/>
  <dcterms:created xsi:type="dcterms:W3CDTF">2025-08-22T14:19:48Z</dcterms:created>
  <dcterms:modified xsi:type="dcterms:W3CDTF">2026-10-01T23:51:08Z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0x010100401465C67862AF44974A5795FB7A315A</vt:lpwstr>
  </property>
  <property fmtid="{D5CDD505-2E9C-101B-9397-08002B2CF9AE}" pid="3" name="MediaServiceImageTags">
    <vt:lpwstr/>
  </property>
</Properties>
</file>